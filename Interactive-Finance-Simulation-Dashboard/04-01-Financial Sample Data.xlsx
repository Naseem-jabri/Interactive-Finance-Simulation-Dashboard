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ِ A\Downloads\"/>
    </mc:Choice>
  </mc:AlternateContent>
  <xr:revisionPtr revIDLastSave="0" documentId="13_ncr:1_{7B0116B3-A416-402B-97EF-D2831BF75C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6" r:id="rId1"/>
  </sheets>
  <definedNames>
    <definedName name="_xlnm._FilterDatabase" localSheetId="0" hidden="1">Data!$A$1:$P$6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2" i="6" l="1"/>
  <c r="V16" i="6"/>
  <c r="V17" i="6"/>
  <c r="V18" i="6"/>
  <c r="V20" i="6"/>
  <c r="V28" i="6"/>
  <c r="V30" i="6"/>
  <c r="V34" i="6"/>
  <c r="V36" i="6"/>
  <c r="V38" i="6"/>
  <c r="V39" i="6"/>
  <c r="V44" i="6"/>
  <c r="V46" i="6"/>
  <c r="V47" i="6"/>
  <c r="V52" i="6"/>
  <c r="V54" i="6"/>
  <c r="V55" i="6"/>
  <c r="V56" i="6"/>
  <c r="V57" i="6"/>
  <c r="V62" i="6"/>
  <c r="V71" i="6"/>
  <c r="V72" i="6"/>
  <c r="V73" i="6"/>
  <c r="V74" i="6"/>
  <c r="V76" i="6"/>
  <c r="V84" i="6"/>
  <c r="V88" i="6"/>
  <c r="V92" i="6"/>
  <c r="V94" i="6"/>
  <c r="V97" i="6"/>
  <c r="V98" i="6"/>
  <c r="V100" i="6"/>
  <c r="V103" i="6"/>
  <c r="V108" i="6"/>
  <c r="V110" i="6"/>
  <c r="V111" i="6"/>
  <c r="V116" i="6"/>
  <c r="V118" i="6"/>
  <c r="V119" i="6"/>
  <c r="V120" i="6"/>
  <c r="V121" i="6"/>
  <c r="V134" i="6"/>
  <c r="V135" i="6"/>
  <c r="V136" i="6"/>
  <c r="V140" i="6"/>
  <c r="V143" i="6"/>
  <c r="V144" i="6"/>
  <c r="V145" i="6"/>
  <c r="V146" i="6"/>
  <c r="V148" i="6"/>
  <c r="V156" i="6"/>
  <c r="V158" i="6"/>
  <c r="V161" i="6"/>
  <c r="V164" i="6"/>
  <c r="V166" i="6"/>
  <c r="V167" i="6"/>
  <c r="V170" i="6"/>
  <c r="V172" i="6"/>
  <c r="V180" i="6"/>
  <c r="V182" i="6"/>
  <c r="V183" i="6"/>
  <c r="V184" i="6"/>
  <c r="V190" i="6"/>
  <c r="V191" i="6"/>
  <c r="V192" i="6"/>
  <c r="V193" i="6"/>
  <c r="V194" i="6"/>
  <c r="V198" i="6"/>
  <c r="V204" i="6"/>
  <c r="V207" i="6"/>
  <c r="V208" i="6"/>
  <c r="V209" i="6"/>
  <c r="V212" i="6"/>
  <c r="V216" i="6"/>
  <c r="V217" i="6"/>
  <c r="V218" i="6"/>
  <c r="V220" i="6"/>
  <c r="V228" i="6"/>
  <c r="V230" i="6"/>
  <c r="V231" i="6"/>
  <c r="V234" i="6"/>
  <c r="V236" i="6"/>
  <c r="V238" i="6"/>
  <c r="V239" i="6"/>
  <c r="V240" i="6"/>
  <c r="V244" i="6"/>
  <c r="V246" i="6"/>
  <c r="V254" i="6"/>
  <c r="V255" i="6"/>
  <c r="V256" i="6"/>
  <c r="V257" i="6"/>
  <c r="V263" i="6"/>
  <c r="V264" i="6"/>
  <c r="V265" i="6"/>
  <c r="V266" i="6"/>
  <c r="V268" i="6"/>
  <c r="V271" i="6"/>
  <c r="V276" i="6"/>
  <c r="V280" i="6"/>
  <c r="V281" i="6"/>
  <c r="V282" i="6"/>
  <c r="V284" i="6"/>
  <c r="V286" i="6"/>
  <c r="V292" i="6"/>
  <c r="V294" i="6"/>
  <c r="V300" i="6"/>
  <c r="V302" i="6"/>
  <c r="V303" i="6"/>
  <c r="V304" i="6"/>
  <c r="V308" i="6"/>
  <c r="V311" i="6"/>
  <c r="V312" i="6"/>
  <c r="V313" i="6"/>
  <c r="V318" i="6"/>
  <c r="V319" i="6"/>
  <c r="V326" i="6"/>
  <c r="V327" i="6"/>
  <c r="V328" i="6"/>
  <c r="V329" i="6"/>
  <c r="V330" i="6"/>
  <c r="V332" i="6"/>
  <c r="V340" i="6"/>
  <c r="V344" i="6"/>
  <c r="V348" i="6"/>
  <c r="V350" i="6"/>
  <c r="V353" i="6"/>
  <c r="V354" i="6"/>
  <c r="V356" i="6"/>
  <c r="V359" i="6"/>
  <c r="V364" i="6"/>
  <c r="V366" i="6"/>
  <c r="V367" i="6"/>
  <c r="V372" i="6"/>
  <c r="V374" i="6"/>
  <c r="V375" i="6"/>
  <c r="V376" i="6"/>
  <c r="V377" i="6"/>
  <c r="V390" i="6"/>
  <c r="V391" i="6"/>
  <c r="V392" i="6"/>
  <c r="V396" i="6"/>
  <c r="V399" i="6"/>
  <c r="V400" i="6"/>
  <c r="V401" i="6"/>
  <c r="V402" i="6"/>
  <c r="V404" i="6"/>
  <c r="V412" i="6"/>
  <c r="V414" i="6"/>
  <c r="V417" i="6"/>
  <c r="V420" i="6"/>
  <c r="V422" i="6"/>
  <c r="V423" i="6"/>
  <c r="V426" i="6"/>
  <c r="V428" i="6"/>
  <c r="V436" i="6"/>
  <c r="V438" i="6"/>
  <c r="V439" i="6"/>
  <c r="V440" i="6"/>
  <c r="V446" i="6"/>
  <c r="V447" i="6"/>
  <c r="V448" i="6"/>
  <c r="V449" i="6"/>
  <c r="V450" i="6"/>
  <c r="V454" i="6"/>
  <c r="V460" i="6"/>
  <c r="V463" i="6"/>
  <c r="V464" i="6"/>
  <c r="V465" i="6"/>
  <c r="V468" i="6"/>
  <c r="V472" i="6"/>
  <c r="V473" i="6"/>
  <c r="V474" i="6"/>
  <c r="V476" i="6"/>
  <c r="V484" i="6"/>
  <c r="V486" i="6"/>
  <c r="V487" i="6"/>
  <c r="V490" i="6"/>
  <c r="V492" i="6"/>
  <c r="V494" i="6"/>
  <c r="V495" i="6"/>
  <c r="V496" i="6"/>
  <c r="V500" i="6"/>
  <c r="V502" i="6"/>
  <c r="V510" i="6"/>
  <c r="V511" i="6"/>
  <c r="V512" i="6"/>
  <c r="V513" i="6"/>
  <c r="V519" i="6"/>
  <c r="V520" i="6"/>
  <c r="V521" i="6"/>
  <c r="V522" i="6"/>
  <c r="V524" i="6"/>
  <c r="V527" i="6"/>
  <c r="V532" i="6"/>
  <c r="V536" i="6"/>
  <c r="V537" i="6"/>
  <c r="V538" i="6"/>
  <c r="V540" i="6"/>
  <c r="V542" i="6"/>
  <c r="V548" i="6"/>
  <c r="V550" i="6"/>
  <c r="V556" i="6"/>
  <c r="V558" i="6"/>
  <c r="V559" i="6"/>
  <c r="V560" i="6"/>
  <c r="V564" i="6"/>
  <c r="V567" i="6"/>
  <c r="V568" i="6"/>
  <c r="V569" i="6"/>
  <c r="V574" i="6"/>
  <c r="V575" i="6"/>
  <c r="V582" i="6"/>
  <c r="V583" i="6"/>
  <c r="V584" i="6"/>
  <c r="V585" i="6"/>
  <c r="V586" i="6"/>
  <c r="V588" i="6"/>
  <c r="V596" i="6"/>
  <c r="V600" i="6"/>
  <c r="V604" i="6"/>
  <c r="V606" i="6"/>
  <c r="V609" i="6"/>
  <c r="V610" i="6"/>
  <c r="V612" i="6"/>
  <c r="V615" i="6"/>
  <c r="V620" i="6"/>
  <c r="V622" i="6"/>
  <c r="V623" i="6"/>
  <c r="V628" i="6"/>
  <c r="V630" i="6"/>
  <c r="V631" i="6"/>
  <c r="V632" i="6"/>
  <c r="V633" i="6"/>
  <c r="V646" i="6"/>
  <c r="V647" i="6"/>
  <c r="V648" i="6"/>
  <c r="V652" i="6"/>
  <c r="V655" i="6"/>
  <c r="V656" i="6"/>
  <c r="V657" i="6"/>
  <c r="V658" i="6"/>
  <c r="V660" i="6"/>
  <c r="V668" i="6"/>
  <c r="V670" i="6"/>
  <c r="V673" i="6"/>
  <c r="V676" i="6"/>
  <c r="V678" i="6"/>
  <c r="V679" i="6"/>
  <c r="V682" i="6"/>
  <c r="V683" i="6"/>
  <c r="V684" i="6"/>
  <c r="V687" i="6"/>
  <c r="V692" i="6"/>
  <c r="V694" i="6"/>
  <c r="V700" i="6"/>
  <c r="V702" i="6"/>
  <c r="V703" i="6"/>
  <c r="V706" i="6"/>
  <c r="U2" i="6"/>
  <c r="S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2" i="6"/>
  <c r="Q2" i="6"/>
  <c r="V2" i="6" s="1"/>
  <c r="Q3" i="6"/>
  <c r="V3" i="6" s="1"/>
  <c r="Q4" i="6"/>
  <c r="V4" i="6" s="1"/>
  <c r="Q5" i="6"/>
  <c r="V5" i="6" s="1"/>
  <c r="Q6" i="6"/>
  <c r="V6" i="6" s="1"/>
  <c r="Q7" i="6"/>
  <c r="V7" i="6" s="1"/>
  <c r="Q8" i="6"/>
  <c r="V8" i="6" s="1"/>
  <c r="Q9" i="6"/>
  <c r="V9" i="6" s="1"/>
  <c r="Q10" i="6"/>
  <c r="V10" i="6" s="1"/>
  <c r="Q11" i="6"/>
  <c r="V11" i="6" s="1"/>
  <c r="Q12" i="6"/>
  <c r="Q13" i="6"/>
  <c r="V13" i="6" s="1"/>
  <c r="Q14" i="6"/>
  <c r="V14" i="6" s="1"/>
  <c r="Q15" i="6"/>
  <c r="V15" i="6" s="1"/>
  <c r="Q16" i="6"/>
  <c r="Q17" i="6"/>
  <c r="Q18" i="6"/>
  <c r="Q19" i="6"/>
  <c r="V19" i="6" s="1"/>
  <c r="Q20" i="6"/>
  <c r="Q21" i="6"/>
  <c r="V21" i="6" s="1"/>
  <c r="Q22" i="6"/>
  <c r="V22" i="6" s="1"/>
  <c r="Q23" i="6"/>
  <c r="V23" i="6" s="1"/>
  <c r="Q24" i="6"/>
  <c r="V24" i="6" s="1"/>
  <c r="Q25" i="6"/>
  <c r="V25" i="6" s="1"/>
  <c r="Q26" i="6"/>
  <c r="V26" i="6" s="1"/>
  <c r="Q27" i="6"/>
  <c r="V27" i="6" s="1"/>
  <c r="Q28" i="6"/>
  <c r="Q29" i="6"/>
  <c r="V29" i="6" s="1"/>
  <c r="Q30" i="6"/>
  <c r="Q31" i="6"/>
  <c r="V31" i="6" s="1"/>
  <c r="Q32" i="6"/>
  <c r="V32" i="6" s="1"/>
  <c r="Q33" i="6"/>
  <c r="V33" i="6" s="1"/>
  <c r="Q34" i="6"/>
  <c r="Q35" i="6"/>
  <c r="V35" i="6" s="1"/>
  <c r="Q36" i="6"/>
  <c r="Q37" i="6"/>
  <c r="V37" i="6" s="1"/>
  <c r="Q38" i="6"/>
  <c r="Q39" i="6"/>
  <c r="Q40" i="6"/>
  <c r="V40" i="6" s="1"/>
  <c r="Q41" i="6"/>
  <c r="V41" i="6" s="1"/>
  <c r="Q42" i="6"/>
  <c r="V42" i="6" s="1"/>
  <c r="Q43" i="6"/>
  <c r="V43" i="6" s="1"/>
  <c r="Q44" i="6"/>
  <c r="Q45" i="6"/>
  <c r="V45" i="6" s="1"/>
  <c r="Q46" i="6"/>
  <c r="Q47" i="6"/>
  <c r="Q48" i="6"/>
  <c r="V48" i="6" s="1"/>
  <c r="Q49" i="6"/>
  <c r="V49" i="6" s="1"/>
  <c r="Q50" i="6"/>
  <c r="V50" i="6" s="1"/>
  <c r="Q51" i="6"/>
  <c r="V51" i="6" s="1"/>
  <c r="Q52" i="6"/>
  <c r="Q53" i="6"/>
  <c r="V53" i="6" s="1"/>
  <c r="Q54" i="6"/>
  <c r="Q55" i="6"/>
  <c r="Q56" i="6"/>
  <c r="Q57" i="6"/>
  <c r="Q58" i="6"/>
  <c r="V58" i="6" s="1"/>
  <c r="Q59" i="6"/>
  <c r="V59" i="6" s="1"/>
  <c r="Q60" i="6"/>
  <c r="V60" i="6" s="1"/>
  <c r="Q61" i="6"/>
  <c r="V61" i="6" s="1"/>
  <c r="Q62" i="6"/>
  <c r="Q63" i="6"/>
  <c r="V63" i="6" s="1"/>
  <c r="Q64" i="6"/>
  <c r="V64" i="6" s="1"/>
  <c r="Q65" i="6"/>
  <c r="V65" i="6" s="1"/>
  <c r="Q66" i="6"/>
  <c r="V66" i="6" s="1"/>
  <c r="Q67" i="6"/>
  <c r="V67" i="6" s="1"/>
  <c r="Q68" i="6"/>
  <c r="V68" i="6" s="1"/>
  <c r="Q69" i="6"/>
  <c r="V69" i="6" s="1"/>
  <c r="Q70" i="6"/>
  <c r="V70" i="6" s="1"/>
  <c r="Q71" i="6"/>
  <c r="Q72" i="6"/>
  <c r="Q73" i="6"/>
  <c r="Q74" i="6"/>
  <c r="Q75" i="6"/>
  <c r="V75" i="6" s="1"/>
  <c r="Q76" i="6"/>
  <c r="Q77" i="6"/>
  <c r="V77" i="6" s="1"/>
  <c r="Q78" i="6"/>
  <c r="V78" i="6" s="1"/>
  <c r="Q79" i="6"/>
  <c r="V79" i="6" s="1"/>
  <c r="Q80" i="6"/>
  <c r="V80" i="6" s="1"/>
  <c r="Q81" i="6"/>
  <c r="V81" i="6" s="1"/>
  <c r="Q82" i="6"/>
  <c r="V82" i="6" s="1"/>
  <c r="Q83" i="6"/>
  <c r="V83" i="6" s="1"/>
  <c r="Q84" i="6"/>
  <c r="Q85" i="6"/>
  <c r="V85" i="6" s="1"/>
  <c r="Q86" i="6"/>
  <c r="V86" i="6" s="1"/>
  <c r="Q87" i="6"/>
  <c r="V87" i="6" s="1"/>
  <c r="Q88" i="6"/>
  <c r="Q89" i="6"/>
  <c r="V89" i="6" s="1"/>
  <c r="Q90" i="6"/>
  <c r="V90" i="6" s="1"/>
  <c r="Q91" i="6"/>
  <c r="V91" i="6" s="1"/>
  <c r="Q92" i="6"/>
  <c r="Q93" i="6"/>
  <c r="V93" i="6" s="1"/>
  <c r="Q94" i="6"/>
  <c r="Q95" i="6"/>
  <c r="V95" i="6" s="1"/>
  <c r="Q96" i="6"/>
  <c r="V96" i="6" s="1"/>
  <c r="Q97" i="6"/>
  <c r="Q98" i="6"/>
  <c r="Q99" i="6"/>
  <c r="V99" i="6" s="1"/>
  <c r="Q100" i="6"/>
  <c r="Q101" i="6"/>
  <c r="V101" i="6" s="1"/>
  <c r="Q102" i="6"/>
  <c r="V102" i="6" s="1"/>
  <c r="Q103" i="6"/>
  <c r="Q104" i="6"/>
  <c r="V104" i="6" s="1"/>
  <c r="Q105" i="6"/>
  <c r="V105" i="6" s="1"/>
  <c r="Q106" i="6"/>
  <c r="V106" i="6" s="1"/>
  <c r="Q107" i="6"/>
  <c r="V107" i="6" s="1"/>
  <c r="Q108" i="6"/>
  <c r="Q109" i="6"/>
  <c r="V109" i="6" s="1"/>
  <c r="Q110" i="6"/>
  <c r="Q111" i="6"/>
  <c r="Q112" i="6"/>
  <c r="V112" i="6" s="1"/>
  <c r="Q113" i="6"/>
  <c r="V113" i="6" s="1"/>
  <c r="Q114" i="6"/>
  <c r="V114" i="6" s="1"/>
  <c r="Q115" i="6"/>
  <c r="V115" i="6" s="1"/>
  <c r="Q116" i="6"/>
  <c r="Q117" i="6"/>
  <c r="V117" i="6" s="1"/>
  <c r="Q118" i="6"/>
  <c r="Q119" i="6"/>
  <c r="Q120" i="6"/>
  <c r="Q121" i="6"/>
  <c r="Q122" i="6"/>
  <c r="V122" i="6" s="1"/>
  <c r="Q123" i="6"/>
  <c r="V123" i="6" s="1"/>
  <c r="Q124" i="6"/>
  <c r="V124" i="6" s="1"/>
  <c r="Q125" i="6"/>
  <c r="V125" i="6" s="1"/>
  <c r="Q126" i="6"/>
  <c r="V126" i="6" s="1"/>
  <c r="Q127" i="6"/>
  <c r="V127" i="6" s="1"/>
  <c r="Q128" i="6"/>
  <c r="V128" i="6" s="1"/>
  <c r="Q129" i="6"/>
  <c r="V129" i="6" s="1"/>
  <c r="Q130" i="6"/>
  <c r="V130" i="6" s="1"/>
  <c r="Q131" i="6"/>
  <c r="V131" i="6" s="1"/>
  <c r="Q132" i="6"/>
  <c r="V132" i="6" s="1"/>
  <c r="Q133" i="6"/>
  <c r="V133" i="6" s="1"/>
  <c r="Q134" i="6"/>
  <c r="Q135" i="6"/>
  <c r="Q136" i="6"/>
  <c r="Q137" i="6"/>
  <c r="V137" i="6" s="1"/>
  <c r="Q138" i="6"/>
  <c r="V138" i="6" s="1"/>
  <c r="Q139" i="6"/>
  <c r="V139" i="6" s="1"/>
  <c r="Q140" i="6"/>
  <c r="Q141" i="6"/>
  <c r="V141" i="6" s="1"/>
  <c r="Q142" i="6"/>
  <c r="V142" i="6" s="1"/>
  <c r="Q143" i="6"/>
  <c r="Q144" i="6"/>
  <c r="Q145" i="6"/>
  <c r="Q146" i="6"/>
  <c r="Q147" i="6"/>
  <c r="V147" i="6" s="1"/>
  <c r="Q148" i="6"/>
  <c r="Q149" i="6"/>
  <c r="V149" i="6" s="1"/>
  <c r="Q150" i="6"/>
  <c r="V150" i="6" s="1"/>
  <c r="Q151" i="6"/>
  <c r="V151" i="6" s="1"/>
  <c r="Q152" i="6"/>
  <c r="V152" i="6" s="1"/>
  <c r="Q153" i="6"/>
  <c r="V153" i="6" s="1"/>
  <c r="Q154" i="6"/>
  <c r="V154" i="6" s="1"/>
  <c r="Q155" i="6"/>
  <c r="V155" i="6" s="1"/>
  <c r="Q156" i="6"/>
  <c r="Q157" i="6"/>
  <c r="V157" i="6" s="1"/>
  <c r="Q158" i="6"/>
  <c r="Q159" i="6"/>
  <c r="V159" i="6" s="1"/>
  <c r="Q160" i="6"/>
  <c r="V160" i="6" s="1"/>
  <c r="Q161" i="6"/>
  <c r="Q162" i="6"/>
  <c r="V162" i="6" s="1"/>
  <c r="Q163" i="6"/>
  <c r="V163" i="6" s="1"/>
  <c r="Q164" i="6"/>
  <c r="Q165" i="6"/>
  <c r="V165" i="6" s="1"/>
  <c r="Q166" i="6"/>
  <c r="Q167" i="6"/>
  <c r="Q168" i="6"/>
  <c r="V168" i="6" s="1"/>
  <c r="Q169" i="6"/>
  <c r="V169" i="6" s="1"/>
  <c r="Q170" i="6"/>
  <c r="Q171" i="6"/>
  <c r="V171" i="6" s="1"/>
  <c r="Q172" i="6"/>
  <c r="Q173" i="6"/>
  <c r="V173" i="6" s="1"/>
  <c r="Q174" i="6"/>
  <c r="V174" i="6" s="1"/>
  <c r="Q175" i="6"/>
  <c r="V175" i="6" s="1"/>
  <c r="Q176" i="6"/>
  <c r="V176" i="6" s="1"/>
  <c r="Q177" i="6"/>
  <c r="V177" i="6" s="1"/>
  <c r="Q178" i="6"/>
  <c r="V178" i="6" s="1"/>
  <c r="Q179" i="6"/>
  <c r="V179" i="6" s="1"/>
  <c r="Q180" i="6"/>
  <c r="Q181" i="6"/>
  <c r="V181" i="6" s="1"/>
  <c r="Q182" i="6"/>
  <c r="Q183" i="6"/>
  <c r="Q184" i="6"/>
  <c r="Q185" i="6"/>
  <c r="V185" i="6" s="1"/>
  <c r="Q186" i="6"/>
  <c r="V186" i="6" s="1"/>
  <c r="Q187" i="6"/>
  <c r="V187" i="6" s="1"/>
  <c r="Q188" i="6"/>
  <c r="V188" i="6" s="1"/>
  <c r="Q189" i="6"/>
  <c r="V189" i="6" s="1"/>
  <c r="Q190" i="6"/>
  <c r="Q191" i="6"/>
  <c r="Q192" i="6"/>
  <c r="Q193" i="6"/>
  <c r="Q194" i="6"/>
  <c r="Q195" i="6"/>
  <c r="V195" i="6" s="1"/>
  <c r="Q196" i="6"/>
  <c r="V196" i="6" s="1"/>
  <c r="Q197" i="6"/>
  <c r="V197" i="6" s="1"/>
  <c r="Q198" i="6"/>
  <c r="Q199" i="6"/>
  <c r="V199" i="6" s="1"/>
  <c r="Q200" i="6"/>
  <c r="V200" i="6" s="1"/>
  <c r="Q201" i="6"/>
  <c r="V201" i="6" s="1"/>
  <c r="Q202" i="6"/>
  <c r="V202" i="6" s="1"/>
  <c r="Q203" i="6"/>
  <c r="V203" i="6" s="1"/>
  <c r="Q204" i="6"/>
  <c r="Q205" i="6"/>
  <c r="V205" i="6" s="1"/>
  <c r="Q206" i="6"/>
  <c r="V206" i="6" s="1"/>
  <c r="Q207" i="6"/>
  <c r="Q208" i="6"/>
  <c r="Q209" i="6"/>
  <c r="Q210" i="6"/>
  <c r="V210" i="6" s="1"/>
  <c r="Q211" i="6"/>
  <c r="V211" i="6" s="1"/>
  <c r="Q212" i="6"/>
  <c r="Q213" i="6"/>
  <c r="V213" i="6" s="1"/>
  <c r="Q214" i="6"/>
  <c r="V214" i="6" s="1"/>
  <c r="Q215" i="6"/>
  <c r="V215" i="6" s="1"/>
  <c r="Q216" i="6"/>
  <c r="Q217" i="6"/>
  <c r="Q218" i="6"/>
  <c r="Q219" i="6"/>
  <c r="V219" i="6" s="1"/>
  <c r="Q220" i="6"/>
  <c r="Q221" i="6"/>
  <c r="V221" i="6" s="1"/>
  <c r="Q222" i="6"/>
  <c r="V222" i="6" s="1"/>
  <c r="Q223" i="6"/>
  <c r="V223" i="6" s="1"/>
  <c r="Q224" i="6"/>
  <c r="V224" i="6" s="1"/>
  <c r="Q225" i="6"/>
  <c r="V225" i="6" s="1"/>
  <c r="Q226" i="6"/>
  <c r="V226" i="6" s="1"/>
  <c r="Q227" i="6"/>
  <c r="V227" i="6" s="1"/>
  <c r="Q228" i="6"/>
  <c r="Q229" i="6"/>
  <c r="V229" i="6" s="1"/>
  <c r="Q230" i="6"/>
  <c r="Q231" i="6"/>
  <c r="Q232" i="6"/>
  <c r="V232" i="6" s="1"/>
  <c r="Q233" i="6"/>
  <c r="V233" i="6" s="1"/>
  <c r="Q234" i="6"/>
  <c r="Q235" i="6"/>
  <c r="V235" i="6" s="1"/>
  <c r="Q236" i="6"/>
  <c r="Q237" i="6"/>
  <c r="V237" i="6" s="1"/>
  <c r="Q238" i="6"/>
  <c r="Q239" i="6"/>
  <c r="Q240" i="6"/>
  <c r="Q241" i="6"/>
  <c r="V241" i="6" s="1"/>
  <c r="Q242" i="6"/>
  <c r="V242" i="6" s="1"/>
  <c r="Q243" i="6"/>
  <c r="V243" i="6" s="1"/>
  <c r="Q244" i="6"/>
  <c r="Q245" i="6"/>
  <c r="V245" i="6" s="1"/>
  <c r="Q246" i="6"/>
  <c r="Q247" i="6"/>
  <c r="V247" i="6" s="1"/>
  <c r="Q248" i="6"/>
  <c r="V248" i="6" s="1"/>
  <c r="Q249" i="6"/>
  <c r="V249" i="6" s="1"/>
  <c r="Q250" i="6"/>
  <c r="V250" i="6" s="1"/>
  <c r="Q251" i="6"/>
  <c r="V251" i="6" s="1"/>
  <c r="Q252" i="6"/>
  <c r="V252" i="6" s="1"/>
  <c r="Q253" i="6"/>
  <c r="V253" i="6" s="1"/>
  <c r="Q254" i="6"/>
  <c r="Q255" i="6"/>
  <c r="Q256" i="6"/>
  <c r="Q257" i="6"/>
  <c r="Q258" i="6"/>
  <c r="V258" i="6" s="1"/>
  <c r="Q259" i="6"/>
  <c r="V259" i="6" s="1"/>
  <c r="Q260" i="6"/>
  <c r="V260" i="6" s="1"/>
  <c r="Q261" i="6"/>
  <c r="V261" i="6" s="1"/>
  <c r="Q262" i="6"/>
  <c r="V262" i="6" s="1"/>
  <c r="Q263" i="6"/>
  <c r="Q264" i="6"/>
  <c r="Q265" i="6"/>
  <c r="Q266" i="6"/>
  <c r="Q267" i="6"/>
  <c r="V267" i="6" s="1"/>
  <c r="Q268" i="6"/>
  <c r="Q269" i="6"/>
  <c r="V269" i="6" s="1"/>
  <c r="Q270" i="6"/>
  <c r="V270" i="6" s="1"/>
  <c r="Q271" i="6"/>
  <c r="Q272" i="6"/>
  <c r="V272" i="6" s="1"/>
  <c r="Q273" i="6"/>
  <c r="V273" i="6" s="1"/>
  <c r="Q274" i="6"/>
  <c r="V274" i="6" s="1"/>
  <c r="Q275" i="6"/>
  <c r="V275" i="6" s="1"/>
  <c r="Q276" i="6"/>
  <c r="Q277" i="6"/>
  <c r="V277" i="6" s="1"/>
  <c r="Q278" i="6"/>
  <c r="V278" i="6" s="1"/>
  <c r="Q279" i="6"/>
  <c r="V279" i="6" s="1"/>
  <c r="Q280" i="6"/>
  <c r="Q281" i="6"/>
  <c r="Q282" i="6"/>
  <c r="Q283" i="6"/>
  <c r="V283" i="6" s="1"/>
  <c r="Q284" i="6"/>
  <c r="Q285" i="6"/>
  <c r="V285" i="6" s="1"/>
  <c r="Q286" i="6"/>
  <c r="Q287" i="6"/>
  <c r="V287" i="6" s="1"/>
  <c r="Q288" i="6"/>
  <c r="V288" i="6" s="1"/>
  <c r="Q289" i="6"/>
  <c r="V289" i="6" s="1"/>
  <c r="Q290" i="6"/>
  <c r="V290" i="6" s="1"/>
  <c r="Q291" i="6"/>
  <c r="V291" i="6" s="1"/>
  <c r="Q292" i="6"/>
  <c r="Q293" i="6"/>
  <c r="V293" i="6" s="1"/>
  <c r="Q294" i="6"/>
  <c r="Q295" i="6"/>
  <c r="V295" i="6" s="1"/>
  <c r="Q296" i="6"/>
  <c r="V296" i="6" s="1"/>
  <c r="Q297" i="6"/>
  <c r="V297" i="6" s="1"/>
  <c r="Q298" i="6"/>
  <c r="V298" i="6" s="1"/>
  <c r="Q299" i="6"/>
  <c r="V299" i="6" s="1"/>
  <c r="Q300" i="6"/>
  <c r="Q301" i="6"/>
  <c r="V301" i="6" s="1"/>
  <c r="Q302" i="6"/>
  <c r="Q303" i="6"/>
  <c r="Q304" i="6"/>
  <c r="Q305" i="6"/>
  <c r="V305" i="6" s="1"/>
  <c r="Q306" i="6"/>
  <c r="V306" i="6" s="1"/>
  <c r="Q307" i="6"/>
  <c r="V307" i="6" s="1"/>
  <c r="Q308" i="6"/>
  <c r="Q309" i="6"/>
  <c r="V309" i="6" s="1"/>
  <c r="Q310" i="6"/>
  <c r="V310" i="6" s="1"/>
  <c r="Q311" i="6"/>
  <c r="Q312" i="6"/>
  <c r="Q313" i="6"/>
  <c r="Q314" i="6"/>
  <c r="V314" i="6" s="1"/>
  <c r="Q315" i="6"/>
  <c r="V315" i="6" s="1"/>
  <c r="Q316" i="6"/>
  <c r="V316" i="6" s="1"/>
  <c r="Q317" i="6"/>
  <c r="V317" i="6" s="1"/>
  <c r="Q318" i="6"/>
  <c r="Q319" i="6"/>
  <c r="Q320" i="6"/>
  <c r="V320" i="6" s="1"/>
  <c r="Q321" i="6"/>
  <c r="V321" i="6" s="1"/>
  <c r="Q322" i="6"/>
  <c r="V322" i="6" s="1"/>
  <c r="Q323" i="6"/>
  <c r="V323" i="6" s="1"/>
  <c r="Q324" i="6"/>
  <c r="V324" i="6" s="1"/>
  <c r="Q325" i="6"/>
  <c r="V325" i="6" s="1"/>
  <c r="Q326" i="6"/>
  <c r="Q327" i="6"/>
  <c r="Q328" i="6"/>
  <c r="Q329" i="6"/>
  <c r="Q330" i="6"/>
  <c r="Q331" i="6"/>
  <c r="V331" i="6" s="1"/>
  <c r="Q332" i="6"/>
  <c r="Q333" i="6"/>
  <c r="V333" i="6" s="1"/>
  <c r="Q334" i="6"/>
  <c r="V334" i="6" s="1"/>
  <c r="Q335" i="6"/>
  <c r="V335" i="6" s="1"/>
  <c r="Q336" i="6"/>
  <c r="V336" i="6" s="1"/>
  <c r="Q337" i="6"/>
  <c r="V337" i="6" s="1"/>
  <c r="Q338" i="6"/>
  <c r="V338" i="6" s="1"/>
  <c r="Q339" i="6"/>
  <c r="V339" i="6" s="1"/>
  <c r="Q340" i="6"/>
  <c r="Q341" i="6"/>
  <c r="V341" i="6" s="1"/>
  <c r="Q342" i="6"/>
  <c r="V342" i="6" s="1"/>
  <c r="Q343" i="6"/>
  <c r="V343" i="6" s="1"/>
  <c r="Q344" i="6"/>
  <c r="Q345" i="6"/>
  <c r="V345" i="6" s="1"/>
  <c r="Q346" i="6"/>
  <c r="V346" i="6" s="1"/>
  <c r="Q347" i="6"/>
  <c r="V347" i="6" s="1"/>
  <c r="Q348" i="6"/>
  <c r="Q349" i="6"/>
  <c r="V349" i="6" s="1"/>
  <c r="Q350" i="6"/>
  <c r="Q351" i="6"/>
  <c r="V351" i="6" s="1"/>
  <c r="Q352" i="6"/>
  <c r="V352" i="6" s="1"/>
  <c r="Q353" i="6"/>
  <c r="Q354" i="6"/>
  <c r="Q355" i="6"/>
  <c r="V355" i="6" s="1"/>
  <c r="Q356" i="6"/>
  <c r="Q357" i="6"/>
  <c r="V357" i="6" s="1"/>
  <c r="Q358" i="6"/>
  <c r="V358" i="6" s="1"/>
  <c r="Q359" i="6"/>
  <c r="Q360" i="6"/>
  <c r="V360" i="6" s="1"/>
  <c r="Q361" i="6"/>
  <c r="V361" i="6" s="1"/>
  <c r="Q362" i="6"/>
  <c r="V362" i="6" s="1"/>
  <c r="Q363" i="6"/>
  <c r="V363" i="6" s="1"/>
  <c r="Q364" i="6"/>
  <c r="Q365" i="6"/>
  <c r="V365" i="6" s="1"/>
  <c r="Q366" i="6"/>
  <c r="Q367" i="6"/>
  <c r="Q368" i="6"/>
  <c r="V368" i="6" s="1"/>
  <c r="Q369" i="6"/>
  <c r="V369" i="6" s="1"/>
  <c r="Q370" i="6"/>
  <c r="V370" i="6" s="1"/>
  <c r="Q371" i="6"/>
  <c r="V371" i="6" s="1"/>
  <c r="Q372" i="6"/>
  <c r="Q373" i="6"/>
  <c r="V373" i="6" s="1"/>
  <c r="Q374" i="6"/>
  <c r="Q375" i="6"/>
  <c r="Q376" i="6"/>
  <c r="Q377" i="6"/>
  <c r="Q378" i="6"/>
  <c r="V378" i="6" s="1"/>
  <c r="Q379" i="6"/>
  <c r="V379" i="6" s="1"/>
  <c r="Q380" i="6"/>
  <c r="V380" i="6" s="1"/>
  <c r="Q381" i="6"/>
  <c r="V381" i="6" s="1"/>
  <c r="Q382" i="6"/>
  <c r="V382" i="6" s="1"/>
  <c r="Q383" i="6"/>
  <c r="V383" i="6" s="1"/>
  <c r="Q384" i="6"/>
  <c r="V384" i="6" s="1"/>
  <c r="Q385" i="6"/>
  <c r="V385" i="6" s="1"/>
  <c r="Q386" i="6"/>
  <c r="V386" i="6" s="1"/>
  <c r="Q387" i="6"/>
  <c r="V387" i="6" s="1"/>
  <c r="Q388" i="6"/>
  <c r="V388" i="6" s="1"/>
  <c r="Q389" i="6"/>
  <c r="V389" i="6" s="1"/>
  <c r="Q390" i="6"/>
  <c r="Q391" i="6"/>
  <c r="Q392" i="6"/>
  <c r="Q393" i="6"/>
  <c r="V393" i="6" s="1"/>
  <c r="Q394" i="6"/>
  <c r="V394" i="6" s="1"/>
  <c r="Q395" i="6"/>
  <c r="V395" i="6" s="1"/>
  <c r="Q396" i="6"/>
  <c r="Q397" i="6"/>
  <c r="V397" i="6" s="1"/>
  <c r="Q398" i="6"/>
  <c r="V398" i="6" s="1"/>
  <c r="Q399" i="6"/>
  <c r="Q400" i="6"/>
  <c r="Q401" i="6"/>
  <c r="Q402" i="6"/>
  <c r="Q403" i="6"/>
  <c r="V403" i="6" s="1"/>
  <c r="Q404" i="6"/>
  <c r="Q405" i="6"/>
  <c r="V405" i="6" s="1"/>
  <c r="Q406" i="6"/>
  <c r="V406" i="6" s="1"/>
  <c r="Q407" i="6"/>
  <c r="V407" i="6" s="1"/>
  <c r="Q408" i="6"/>
  <c r="V408" i="6" s="1"/>
  <c r="Q409" i="6"/>
  <c r="V409" i="6" s="1"/>
  <c r="Q410" i="6"/>
  <c r="V410" i="6" s="1"/>
  <c r="Q411" i="6"/>
  <c r="V411" i="6" s="1"/>
  <c r="Q412" i="6"/>
  <c r="Q413" i="6"/>
  <c r="V413" i="6" s="1"/>
  <c r="Q414" i="6"/>
  <c r="Q415" i="6"/>
  <c r="V415" i="6" s="1"/>
  <c r="Q416" i="6"/>
  <c r="V416" i="6" s="1"/>
  <c r="Q417" i="6"/>
  <c r="Q418" i="6"/>
  <c r="V418" i="6" s="1"/>
  <c r="Q419" i="6"/>
  <c r="V419" i="6" s="1"/>
  <c r="Q420" i="6"/>
  <c r="Q421" i="6"/>
  <c r="V421" i="6" s="1"/>
  <c r="Q422" i="6"/>
  <c r="Q423" i="6"/>
  <c r="Q424" i="6"/>
  <c r="V424" i="6" s="1"/>
  <c r="Q425" i="6"/>
  <c r="V425" i="6" s="1"/>
  <c r="Q426" i="6"/>
  <c r="Q427" i="6"/>
  <c r="V427" i="6" s="1"/>
  <c r="Q428" i="6"/>
  <c r="Q429" i="6"/>
  <c r="V429" i="6" s="1"/>
  <c r="Q430" i="6"/>
  <c r="V430" i="6" s="1"/>
  <c r="Q431" i="6"/>
  <c r="V431" i="6" s="1"/>
  <c r="Q432" i="6"/>
  <c r="V432" i="6" s="1"/>
  <c r="Q433" i="6"/>
  <c r="V433" i="6" s="1"/>
  <c r="Q434" i="6"/>
  <c r="V434" i="6" s="1"/>
  <c r="Q435" i="6"/>
  <c r="V435" i="6" s="1"/>
  <c r="Q436" i="6"/>
  <c r="Q437" i="6"/>
  <c r="V437" i="6" s="1"/>
  <c r="Q438" i="6"/>
  <c r="Q439" i="6"/>
  <c r="Q440" i="6"/>
  <c r="Q441" i="6"/>
  <c r="V441" i="6" s="1"/>
  <c r="Q442" i="6"/>
  <c r="V442" i="6" s="1"/>
  <c r="Q443" i="6"/>
  <c r="V443" i="6" s="1"/>
  <c r="Q444" i="6"/>
  <c r="V444" i="6" s="1"/>
  <c r="Q445" i="6"/>
  <c r="V445" i="6" s="1"/>
  <c r="Q446" i="6"/>
  <c r="Q447" i="6"/>
  <c r="Q448" i="6"/>
  <c r="Q449" i="6"/>
  <c r="Q450" i="6"/>
  <c r="Q451" i="6"/>
  <c r="V451" i="6" s="1"/>
  <c r="Q452" i="6"/>
  <c r="V452" i="6" s="1"/>
  <c r="Q453" i="6"/>
  <c r="V453" i="6" s="1"/>
  <c r="Q454" i="6"/>
  <c r="Q455" i="6"/>
  <c r="V455" i="6" s="1"/>
  <c r="Q456" i="6"/>
  <c r="V456" i="6" s="1"/>
  <c r="Q457" i="6"/>
  <c r="V457" i="6" s="1"/>
  <c r="Q458" i="6"/>
  <c r="V458" i="6" s="1"/>
  <c r="Q459" i="6"/>
  <c r="V459" i="6" s="1"/>
  <c r="Q460" i="6"/>
  <c r="Q461" i="6"/>
  <c r="V461" i="6" s="1"/>
  <c r="Q462" i="6"/>
  <c r="V462" i="6" s="1"/>
  <c r="Q463" i="6"/>
  <c r="Q464" i="6"/>
  <c r="Q465" i="6"/>
  <c r="Q466" i="6"/>
  <c r="V466" i="6" s="1"/>
  <c r="Q467" i="6"/>
  <c r="V467" i="6" s="1"/>
  <c r="Q468" i="6"/>
  <c r="Q469" i="6"/>
  <c r="V469" i="6" s="1"/>
  <c r="Q470" i="6"/>
  <c r="V470" i="6" s="1"/>
  <c r="Q471" i="6"/>
  <c r="V471" i="6" s="1"/>
  <c r="Q472" i="6"/>
  <c r="Q473" i="6"/>
  <c r="Q474" i="6"/>
  <c r="Q475" i="6"/>
  <c r="V475" i="6" s="1"/>
  <c r="Q476" i="6"/>
  <c r="Q477" i="6"/>
  <c r="V477" i="6" s="1"/>
  <c r="Q478" i="6"/>
  <c r="V478" i="6" s="1"/>
  <c r="Q479" i="6"/>
  <c r="V479" i="6" s="1"/>
  <c r="Q480" i="6"/>
  <c r="V480" i="6" s="1"/>
  <c r="Q481" i="6"/>
  <c r="V481" i="6" s="1"/>
  <c r="Q482" i="6"/>
  <c r="V482" i="6" s="1"/>
  <c r="Q483" i="6"/>
  <c r="V483" i="6" s="1"/>
  <c r="Q484" i="6"/>
  <c r="Q485" i="6"/>
  <c r="V485" i="6" s="1"/>
  <c r="Q486" i="6"/>
  <c r="Q487" i="6"/>
  <c r="Q488" i="6"/>
  <c r="V488" i="6" s="1"/>
  <c r="Q489" i="6"/>
  <c r="V489" i="6" s="1"/>
  <c r="Q490" i="6"/>
  <c r="Q491" i="6"/>
  <c r="V491" i="6" s="1"/>
  <c r="Q492" i="6"/>
  <c r="Q493" i="6"/>
  <c r="V493" i="6" s="1"/>
  <c r="Q494" i="6"/>
  <c r="Q495" i="6"/>
  <c r="Q496" i="6"/>
  <c r="Q497" i="6"/>
  <c r="V497" i="6" s="1"/>
  <c r="Q498" i="6"/>
  <c r="V498" i="6" s="1"/>
  <c r="Q499" i="6"/>
  <c r="V499" i="6" s="1"/>
  <c r="Q500" i="6"/>
  <c r="Q501" i="6"/>
  <c r="V501" i="6" s="1"/>
  <c r="Q502" i="6"/>
  <c r="Q503" i="6"/>
  <c r="V503" i="6" s="1"/>
  <c r="Q504" i="6"/>
  <c r="V504" i="6" s="1"/>
  <c r="Q505" i="6"/>
  <c r="V505" i="6" s="1"/>
  <c r="Q506" i="6"/>
  <c r="V506" i="6" s="1"/>
  <c r="Q507" i="6"/>
  <c r="V507" i="6" s="1"/>
  <c r="Q508" i="6"/>
  <c r="V508" i="6" s="1"/>
  <c r="Q509" i="6"/>
  <c r="V509" i="6" s="1"/>
  <c r="Q510" i="6"/>
  <c r="Q511" i="6"/>
  <c r="Q512" i="6"/>
  <c r="Q513" i="6"/>
  <c r="Q514" i="6"/>
  <c r="V514" i="6" s="1"/>
  <c r="Q515" i="6"/>
  <c r="V515" i="6" s="1"/>
  <c r="Q516" i="6"/>
  <c r="V516" i="6" s="1"/>
  <c r="Q517" i="6"/>
  <c r="V517" i="6" s="1"/>
  <c r="Q518" i="6"/>
  <c r="V518" i="6" s="1"/>
  <c r="Q519" i="6"/>
  <c r="Q520" i="6"/>
  <c r="Q521" i="6"/>
  <c r="Q522" i="6"/>
  <c r="Q523" i="6"/>
  <c r="V523" i="6" s="1"/>
  <c r="Q524" i="6"/>
  <c r="Q525" i="6"/>
  <c r="V525" i="6" s="1"/>
  <c r="Q526" i="6"/>
  <c r="V526" i="6" s="1"/>
  <c r="Q527" i="6"/>
  <c r="Q528" i="6"/>
  <c r="V528" i="6" s="1"/>
  <c r="Q529" i="6"/>
  <c r="V529" i="6" s="1"/>
  <c r="Q530" i="6"/>
  <c r="V530" i="6" s="1"/>
  <c r="Q531" i="6"/>
  <c r="V531" i="6" s="1"/>
  <c r="Q532" i="6"/>
  <c r="Q533" i="6"/>
  <c r="V533" i="6" s="1"/>
  <c r="Q534" i="6"/>
  <c r="V534" i="6" s="1"/>
  <c r="Q535" i="6"/>
  <c r="V535" i="6" s="1"/>
  <c r="Q536" i="6"/>
  <c r="Q537" i="6"/>
  <c r="Q538" i="6"/>
  <c r="Q539" i="6"/>
  <c r="V539" i="6" s="1"/>
  <c r="Q540" i="6"/>
  <c r="Q541" i="6"/>
  <c r="V541" i="6" s="1"/>
  <c r="Q542" i="6"/>
  <c r="Q543" i="6"/>
  <c r="V543" i="6" s="1"/>
  <c r="Q544" i="6"/>
  <c r="V544" i="6" s="1"/>
  <c r="Q545" i="6"/>
  <c r="V545" i="6" s="1"/>
  <c r="Q546" i="6"/>
  <c r="V546" i="6" s="1"/>
  <c r="Q547" i="6"/>
  <c r="V547" i="6" s="1"/>
  <c r="Q548" i="6"/>
  <c r="Q549" i="6"/>
  <c r="V549" i="6" s="1"/>
  <c r="Q550" i="6"/>
  <c r="Q551" i="6"/>
  <c r="V551" i="6" s="1"/>
  <c r="Q552" i="6"/>
  <c r="V552" i="6" s="1"/>
  <c r="Q553" i="6"/>
  <c r="V553" i="6" s="1"/>
  <c r="Q554" i="6"/>
  <c r="V554" i="6" s="1"/>
  <c r="Q555" i="6"/>
  <c r="V555" i="6" s="1"/>
  <c r="Q556" i="6"/>
  <c r="Q557" i="6"/>
  <c r="V557" i="6" s="1"/>
  <c r="Q558" i="6"/>
  <c r="Q559" i="6"/>
  <c r="Q560" i="6"/>
  <c r="Q561" i="6"/>
  <c r="V561" i="6" s="1"/>
  <c r="Q562" i="6"/>
  <c r="V562" i="6" s="1"/>
  <c r="Q563" i="6"/>
  <c r="V563" i="6" s="1"/>
  <c r="Q564" i="6"/>
  <c r="Q565" i="6"/>
  <c r="V565" i="6" s="1"/>
  <c r="Q566" i="6"/>
  <c r="V566" i="6" s="1"/>
  <c r="Q567" i="6"/>
  <c r="Q568" i="6"/>
  <c r="Q569" i="6"/>
  <c r="Q570" i="6"/>
  <c r="V570" i="6" s="1"/>
  <c r="Q571" i="6"/>
  <c r="V571" i="6" s="1"/>
  <c r="Q572" i="6"/>
  <c r="V572" i="6" s="1"/>
  <c r="Q573" i="6"/>
  <c r="V573" i="6" s="1"/>
  <c r="Q574" i="6"/>
  <c r="Q575" i="6"/>
  <c r="Q576" i="6"/>
  <c r="V576" i="6" s="1"/>
  <c r="Q577" i="6"/>
  <c r="V577" i="6" s="1"/>
  <c r="Q578" i="6"/>
  <c r="V578" i="6" s="1"/>
  <c r="Q579" i="6"/>
  <c r="V579" i="6" s="1"/>
  <c r="Q580" i="6"/>
  <c r="V580" i="6" s="1"/>
  <c r="Q581" i="6"/>
  <c r="V581" i="6" s="1"/>
  <c r="Q582" i="6"/>
  <c r="Q583" i="6"/>
  <c r="Q584" i="6"/>
  <c r="Q585" i="6"/>
  <c r="Q586" i="6"/>
  <c r="Q587" i="6"/>
  <c r="V587" i="6" s="1"/>
  <c r="Q588" i="6"/>
  <c r="Q589" i="6"/>
  <c r="V589" i="6" s="1"/>
  <c r="Q590" i="6"/>
  <c r="V590" i="6" s="1"/>
  <c r="Q591" i="6"/>
  <c r="V591" i="6" s="1"/>
  <c r="Q592" i="6"/>
  <c r="V592" i="6" s="1"/>
  <c r="Q593" i="6"/>
  <c r="V593" i="6" s="1"/>
  <c r="Q594" i="6"/>
  <c r="V594" i="6" s="1"/>
  <c r="Q595" i="6"/>
  <c r="V595" i="6" s="1"/>
  <c r="Q596" i="6"/>
  <c r="Q597" i="6"/>
  <c r="V597" i="6" s="1"/>
  <c r="Q598" i="6"/>
  <c r="V598" i="6" s="1"/>
  <c r="Q599" i="6"/>
  <c r="V599" i="6" s="1"/>
  <c r="Q600" i="6"/>
  <c r="Q601" i="6"/>
  <c r="V601" i="6" s="1"/>
  <c r="Q602" i="6"/>
  <c r="V602" i="6" s="1"/>
  <c r="Q603" i="6"/>
  <c r="V603" i="6" s="1"/>
  <c r="Q604" i="6"/>
  <c r="Q605" i="6"/>
  <c r="V605" i="6" s="1"/>
  <c r="Q606" i="6"/>
  <c r="Q607" i="6"/>
  <c r="V607" i="6" s="1"/>
  <c r="Q608" i="6"/>
  <c r="V608" i="6" s="1"/>
  <c r="Q609" i="6"/>
  <c r="Q610" i="6"/>
  <c r="Q611" i="6"/>
  <c r="V611" i="6" s="1"/>
  <c r="Q612" i="6"/>
  <c r="Q613" i="6"/>
  <c r="V613" i="6" s="1"/>
  <c r="Q614" i="6"/>
  <c r="V614" i="6" s="1"/>
  <c r="Q615" i="6"/>
  <c r="Q616" i="6"/>
  <c r="V616" i="6" s="1"/>
  <c r="Q617" i="6"/>
  <c r="V617" i="6" s="1"/>
  <c r="Q618" i="6"/>
  <c r="V618" i="6" s="1"/>
  <c r="Q619" i="6"/>
  <c r="V619" i="6" s="1"/>
  <c r="Q620" i="6"/>
  <c r="Q621" i="6"/>
  <c r="V621" i="6" s="1"/>
  <c r="Q622" i="6"/>
  <c r="Q623" i="6"/>
  <c r="Q624" i="6"/>
  <c r="V624" i="6" s="1"/>
  <c r="Q625" i="6"/>
  <c r="V625" i="6" s="1"/>
  <c r="Q626" i="6"/>
  <c r="V626" i="6" s="1"/>
  <c r="Q627" i="6"/>
  <c r="V627" i="6" s="1"/>
  <c r="Q628" i="6"/>
  <c r="Q629" i="6"/>
  <c r="V629" i="6" s="1"/>
  <c r="Q630" i="6"/>
  <c r="Q631" i="6"/>
  <c r="Q632" i="6"/>
  <c r="Q633" i="6"/>
  <c r="Q634" i="6"/>
  <c r="V634" i="6" s="1"/>
  <c r="Q635" i="6"/>
  <c r="V635" i="6" s="1"/>
  <c r="Q636" i="6"/>
  <c r="V636" i="6" s="1"/>
  <c r="Q637" i="6"/>
  <c r="V637" i="6" s="1"/>
  <c r="Q638" i="6"/>
  <c r="V638" i="6" s="1"/>
  <c r="Q639" i="6"/>
  <c r="V639" i="6" s="1"/>
  <c r="Q640" i="6"/>
  <c r="V640" i="6" s="1"/>
  <c r="Q641" i="6"/>
  <c r="V641" i="6" s="1"/>
  <c r="Q642" i="6"/>
  <c r="V642" i="6" s="1"/>
  <c r="Q643" i="6"/>
  <c r="V643" i="6" s="1"/>
  <c r="Q644" i="6"/>
  <c r="V644" i="6" s="1"/>
  <c r="Q645" i="6"/>
  <c r="V645" i="6" s="1"/>
  <c r="Q646" i="6"/>
  <c r="Q647" i="6"/>
  <c r="Q648" i="6"/>
  <c r="Q649" i="6"/>
  <c r="V649" i="6" s="1"/>
  <c r="Q650" i="6"/>
  <c r="V650" i="6" s="1"/>
  <c r="Q651" i="6"/>
  <c r="V651" i="6" s="1"/>
  <c r="Q652" i="6"/>
  <c r="Q653" i="6"/>
  <c r="V653" i="6" s="1"/>
  <c r="Q654" i="6"/>
  <c r="V654" i="6" s="1"/>
  <c r="Q655" i="6"/>
  <c r="Q656" i="6"/>
  <c r="Q657" i="6"/>
  <c r="Q658" i="6"/>
  <c r="Q659" i="6"/>
  <c r="V659" i="6" s="1"/>
  <c r="Q660" i="6"/>
  <c r="Q661" i="6"/>
  <c r="V661" i="6" s="1"/>
  <c r="Q662" i="6"/>
  <c r="V662" i="6" s="1"/>
  <c r="Q663" i="6"/>
  <c r="V663" i="6" s="1"/>
  <c r="Q664" i="6"/>
  <c r="V664" i="6" s="1"/>
  <c r="Q665" i="6"/>
  <c r="V665" i="6" s="1"/>
  <c r="Q666" i="6"/>
  <c r="V666" i="6" s="1"/>
  <c r="Q667" i="6"/>
  <c r="V667" i="6" s="1"/>
  <c r="Q668" i="6"/>
  <c r="Q669" i="6"/>
  <c r="V669" i="6" s="1"/>
  <c r="Q670" i="6"/>
  <c r="Q671" i="6"/>
  <c r="V671" i="6" s="1"/>
  <c r="Q672" i="6"/>
  <c r="V672" i="6" s="1"/>
  <c r="Q673" i="6"/>
  <c r="Q674" i="6"/>
  <c r="V674" i="6" s="1"/>
  <c r="Q675" i="6"/>
  <c r="V675" i="6" s="1"/>
  <c r="Q676" i="6"/>
  <c r="Q677" i="6"/>
  <c r="V677" i="6" s="1"/>
  <c r="Q678" i="6"/>
  <c r="Q679" i="6"/>
  <c r="Q680" i="6"/>
  <c r="V680" i="6" s="1"/>
  <c r="Q681" i="6"/>
  <c r="V681" i="6" s="1"/>
  <c r="Q682" i="6"/>
  <c r="Q683" i="6"/>
  <c r="Q684" i="6"/>
  <c r="Q685" i="6"/>
  <c r="V685" i="6" s="1"/>
  <c r="Q686" i="6"/>
  <c r="V686" i="6" s="1"/>
  <c r="Q687" i="6"/>
  <c r="Q688" i="6"/>
  <c r="V688" i="6" s="1"/>
  <c r="Q689" i="6"/>
  <c r="V689" i="6" s="1"/>
  <c r="Q690" i="6"/>
  <c r="V690" i="6" s="1"/>
  <c r="Q691" i="6"/>
  <c r="V691" i="6" s="1"/>
  <c r="Q692" i="6"/>
  <c r="Q693" i="6"/>
  <c r="V693" i="6" s="1"/>
  <c r="Q694" i="6"/>
  <c r="Q695" i="6"/>
  <c r="V695" i="6" s="1"/>
  <c r="Q696" i="6"/>
  <c r="V696" i="6" s="1"/>
  <c r="Q697" i="6"/>
  <c r="V697" i="6" s="1"/>
  <c r="Q698" i="6"/>
  <c r="V698" i="6" s="1"/>
  <c r="Q699" i="6"/>
  <c r="V699" i="6" s="1"/>
  <c r="Q700" i="6"/>
  <c r="Q701" i="6"/>
  <c r="V701" i="6" s="1"/>
  <c r="Q702" i="6"/>
  <c r="Q703" i="6"/>
  <c r="Q704" i="6"/>
  <c r="V704" i="6" s="1"/>
  <c r="Q705" i="6"/>
  <c r="V705" i="6" s="1"/>
  <c r="W2" i="6"/>
  <c r="T2" i="6" l="1"/>
</calcChain>
</file>

<file path=xl/sharedStrings.xml><?xml version="1.0" encoding="utf-8"?>
<sst xmlns="http://schemas.openxmlformats.org/spreadsheetml/2006/main" count="4249" uniqueCount="71">
  <si>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</si>
  <si>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</si>
  <si>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</si>
  <si>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</si>
  <si>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</si>
  <si>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</si>
  <si>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</si>
  <si>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</si>
  <si>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</si>
  <si>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</si>
  <si>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</si>
  <si>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</si>
  <si>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</si>
  <si>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</si>
  <si>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</si>
  <si>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</si>
  <si>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</si>
  <si>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</si>
  <si>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</si>
  <si>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</si>
  <si>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</si>
  <si>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</si>
  <si>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</si>
  <si>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</si>
  <si>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</si>
  <si>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</si>
  <si>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</si>
  <si>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</si>
  <si>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</si>
  <si>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</si>
  <si>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</si>
  <si>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</si>
  <si>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</si>
  <si>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</si>
  <si>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</si>
  <si>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</si>
  <si>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</si>
  <si>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</si>
  <si>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</si>
  <si>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</si>
  <si>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</si>
  <si>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</si>
  <si>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</si>
  <si>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</si>
  <si>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</si>
  <si>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</si>
  <si>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</si>
  <si>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</si>
  <si>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</si>
  <si>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</si>
  <si>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CANADA</t>
  </si>
  <si>
    <t>FRANCE</t>
  </si>
  <si>
    <t>GERMANY</t>
  </si>
  <si>
    <t>MEXICO</t>
  </si>
  <si>
    <t>germany</t>
  </si>
  <si>
    <t xml:space="preserve">   germany   </t>
  </si>
  <si>
    <t xml:space="preserve">                  Mexico</t>
  </si>
  <si>
    <t xml:space="preserve">  Canada</t>
  </si>
  <si>
    <t xml:space="preserve">    France</t>
  </si>
  <si>
    <t xml:space="preserve">   Canada</t>
  </si>
  <si>
    <t xml:space="preserve"> mexico</t>
  </si>
  <si>
    <t>United States 
of America</t>
  </si>
  <si>
    <t>3</t>
  </si>
  <si>
    <t>Midmarkets</t>
  </si>
  <si>
    <t>Profit Margin</t>
  </si>
  <si>
    <t>COGS %</t>
  </si>
  <si>
    <t>Total sales</t>
  </si>
  <si>
    <t>Status</t>
  </si>
  <si>
    <t>Avg Profit Margin</t>
  </si>
  <si>
    <t>Max Profit</t>
  </si>
  <si>
    <t>Forecast (V3)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</si>
</sst>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0" fontId="0" fillId="0" borderId="0" xfId="0" applyAlignment="1">
      <alignment wrapText="1"/>
    </xf>
    <xf numFmtId="0" fontId="0" fillId="0" borderId="0" xfId="0" quotePrefix="1"/>
    <xf numFmtId="49" fontId="0" fillId="0" borderId="0" xfId="0" quotePrefix="1" applyNumberFormat="1"/>
    <xf numFmtId="10" fontId="0" fillId="0" borderId="0" xfId="0" applyNumberFormat="1"/>
    <xf numFmtId="2" fontId="0" fillId="0" borderId="0" xfId="0" applyNumberFormat="1"/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6"/>
  <sheetViews>
    <sheetView tabSelected="1" topLeftCell="M1" zoomScaleNormal="100" workbookViewId="0">
      <selection activeCell="X11" sqref="X11"/>
    </sheetView>
  </sheetViews>
  <sheetFormatPr defaultRowHeight="13.8" x14ac:dyDescent="0.25"/>
  <cols>
    <col min="1" max="1" width="16.296875" customWidth="1"/>
    <col min="2" max="2" width="26.59765625" customWidth="1"/>
    <col min="3" max="3" width="14.09765625" style="3" customWidth="1"/>
    <col min="4" max="4" width="17.3984375" customWidth="1"/>
    <col min="5" max="5" width="14.296875" style="1" customWidth="1"/>
    <col min="6" max="6" width="14.296875" style="1" bestFit="1" customWidth="1"/>
    <col min="7" max="7" width="12.59765625" style="1" bestFit="1" customWidth="1"/>
    <col min="8" max="8" width="14.296875" style="1" bestFit="1" customWidth="1"/>
    <col min="9" max="9" width="12.59765625" style="1" bestFit="1" customWidth="1"/>
    <col min="10" max="10" width="17.69921875" style="1" customWidth="1"/>
    <col min="11" max="11" width="12.69921875" bestFit="1" customWidth="1"/>
    <col min="12" max="12" width="18.3984375" bestFit="1" customWidth="1"/>
    <col min="13" max="13" width="11.59765625" style="4" bestFit="1" customWidth="1"/>
    <col min="14" max="14" width="17.09765625" style="5" bestFit="1" customWidth="1"/>
    <col min="15" max="15" width="16.59765625" bestFit="1" customWidth="1"/>
    <col min="16" max="16" width="7.59765625" style="2" bestFit="1" customWidth="1"/>
    <col min="19" max="19" width="12.3984375" customWidth="1"/>
    <col min="20" max="20" width="17.796875" customWidth="1"/>
    <col min="21" max="21" width="18.796875" customWidth="1"/>
    <col min="22" max="22" width="16.796875" customWidth="1"/>
    <col min="23" max="23" width="11.59765625" customWidth="1"/>
  </cols>
  <sheetData>
    <row r="1" spans="1:23" x14ac:dyDescent="0.25">
      <c r="A1" t="s">
        <v>6</v>
      </c>
      <c r="B1" t="s">
        <v>36</v>
      </c>
      <c r="C1" t="s">
        <v>37</v>
      </c>
      <c r="D1" t="s">
        <v>44</v>
      </c>
      <c r="E1" t="s">
        <v>4</v>
      </c>
      <c r="F1" t="s">
        <v>5</v>
      </c>
      <c r="G1" t="s">
        <v>35</v>
      </c>
      <c r="H1" t="s">
        <v>1</v>
      </c>
      <c r="I1" t="s">
        <v>2</v>
      </c>
      <c r="J1" t="s">
        <v>34</v>
      </c>
      <c r="K1" t="s">
        <v>3</v>
      </c>
      <c r="L1" t="s">
        <v>33</v>
      </c>
      <c r="M1" s="4" t="s">
        <v>12</v>
      </c>
      <c r="N1" t="s">
        <v>13</v>
      </c>
      <c r="O1" t="s">
        <v>49</v>
      </c>
      <c r="P1" t="s">
        <v>0</v>
      </c>
      <c r="Q1" s="9" t="s">
        <v>64</v>
      </c>
      <c r="R1" t="s">
        <v>65</v>
      </c>
      <c r="S1" t="s">
        <v>66</v>
      </c>
      <c r="T1" t="s">
        <v>68</v>
      </c>
      <c r="U1" t="s">
        <v>69</v>
      </c>
      <c r="V1" t="s">
        <v>67</v>
      </c>
      <c r="W1" t="s">
        <v>70</v>
      </c>
    </row>
    <row r="2" spans="1:23" x14ac:dyDescent="0.25">
      <c r="A2" t="s">
        <v>10</v>
      </c>
      <c r="B2" t="s">
        <v>50</v>
      </c>
      <c r="C2" t="s">
        <v>38</v>
      </c>
      <c r="D2" t="s">
        <v>45</v>
      </c>
      <c r="E2">
        <v>1618.5</v>
      </c>
      <c r="F2">
        <v>3</v>
      </c>
      <c r="G2">
        <v>20</v>
      </c>
      <c r="H2">
        <v>32370</v>
      </c>
      <c r="I2">
        <v>0</v>
      </c>
      <c r="J2">
        <v>32370</v>
      </c>
      <c r="K2">
        <v>16185</v>
      </c>
      <c r="L2">
        <v>16185</v>
      </c>
      <c r="M2" s="4">
        <v>41640</v>
      </c>
      <c r="N2">
        <v>1</v>
      </c>
      <c r="O2" t="s">
        <v>21</v>
      </c>
      <c r="P2" t="s">
        <v>15</v>
      </c>
      <c r="Q2" s="9">
        <f>L2/J2</f>
        <v>0.5</v>
      </c>
      <c r="R2" s="9">
        <f>K2/J2</f>
        <v>0.5</v>
      </c>
      <c r="S2" s="10">
        <f>SUM(J:J)</f>
        <v>119920182.25999992</v>
      </c>
      <c r="T2" s="9">
        <f>AVERAGE(Q:Q)</f>
        <v>0.27954249250742264</v>
      </c>
      <c r="U2">
        <f>MAX(L:L)</f>
        <v>262200</v>
      </c>
      <c r="V2" t="str">
        <f>IF(Q2&lt;0.1, "Under Review", "Good Performance")</f>
        <v>Good Performance</v>
      </c>
      <c r="W2">
        <f>_xlfn.FORECAST.ETS(DATE(2015,1,1), J2:J701, M2:M701)</f>
        <v>176746.12035322547</v>
      </c>
    </row>
    <row r="3" spans="1:23" x14ac:dyDescent="0.25">
      <c r="A3" t="s">
        <v>10</v>
      </c>
      <c r="B3" t="s">
        <v>55</v>
      </c>
      <c r="C3" t="s">
        <v>38</v>
      </c>
      <c r="D3" t="s">
        <v>45</v>
      </c>
      <c r="E3">
        <v>1321</v>
      </c>
      <c r="F3" s="8" t="s">
        <v>62</v>
      </c>
      <c r="G3">
        <v>20</v>
      </c>
      <c r="H3">
        <v>26420</v>
      </c>
      <c r="I3">
        <v>0</v>
      </c>
      <c r="J3">
        <v>26420</v>
      </c>
      <c r="K3">
        <v>13210</v>
      </c>
      <c r="L3">
        <v>13210</v>
      </c>
      <c r="M3" s="4">
        <v>41640</v>
      </c>
      <c r="N3">
        <v>1</v>
      </c>
      <c r="O3" t="s">
        <v>21</v>
      </c>
      <c r="P3" t="s">
        <v>15</v>
      </c>
      <c r="Q3" s="9">
        <f t="shared" ref="Q3:Q66" si="0">L3/J3</f>
        <v>0.5</v>
      </c>
      <c r="R3" s="9">
        <f t="shared" ref="R3:R66" si="1">K3/J3</f>
        <v>0.5</v>
      </c>
      <c r="V3" t="str">
        <f t="shared" ref="V3:V66" si="2">IF(Q3&lt;0.1, "Under Review", "Good Performance")</f>
        <v>Good Performance</v>
      </c>
    </row>
    <row r="4" spans="1:23" x14ac:dyDescent="0.25">
      <c r="A4" t="s">
        <v>63</v>
      </c>
      <c r="B4" t="s">
        <v>51</v>
      </c>
      <c r="C4" t="s">
        <v>38</v>
      </c>
      <c r="D4" t="s">
        <v>45</v>
      </c>
      <c r="E4">
        <v>2178</v>
      </c>
      <c r="F4" s="2">
        <v>3</v>
      </c>
      <c r="G4">
        <v>15</v>
      </c>
      <c r="H4">
        <v>32670</v>
      </c>
      <c r="I4"/>
      <c r="J4">
        <v>32670</v>
      </c>
      <c r="K4">
        <v>21780</v>
      </c>
      <c r="L4">
        <v>10890</v>
      </c>
      <c r="M4" s="4">
        <v>41791</v>
      </c>
      <c r="N4">
        <v>6</v>
      </c>
      <c r="O4" t="s">
        <v>26</v>
      </c>
      <c r="P4" t="s">
        <v>15</v>
      </c>
      <c r="Q4" s="9">
        <f t="shared" si="0"/>
        <v>0.33333333333333331</v>
      </c>
      <c r="R4" s="9">
        <f t="shared" si="1"/>
        <v>0.66666666666666663</v>
      </c>
      <c r="V4" t="str">
        <f t="shared" si="2"/>
        <v>Good Performance</v>
      </c>
    </row>
    <row r="5" spans="1:23" x14ac:dyDescent="0.25">
      <c r="A5" t="s">
        <v>8</v>
      </c>
      <c r="B5" t="s">
        <v>19</v>
      </c>
      <c r="C5" t="s">
        <v>38</v>
      </c>
      <c r="D5" t="s">
        <v>45</v>
      </c>
      <c r="E5">
        <v>888</v>
      </c>
      <c r="F5" s="2">
        <v>3</v>
      </c>
      <c r="G5">
        <v>15</v>
      </c>
      <c r="H5">
        <v>13320</v>
      </c>
      <c r="I5">
        <v>0</v>
      </c>
      <c r="J5">
        <v>13320</v>
      </c>
      <c r="K5">
        <v>8880</v>
      </c>
      <c r="L5">
        <v>4440</v>
      </c>
      <c r="M5" s="4">
        <v>41791</v>
      </c>
      <c r="N5">
        <v>6</v>
      </c>
      <c r="O5" t="s">
        <v>26</v>
      </c>
      <c r="P5" t="s">
        <v>15</v>
      </c>
      <c r="Q5" s="9">
        <f t="shared" si="0"/>
        <v>0.33333333333333331</v>
      </c>
      <c r="R5" s="9">
        <f t="shared" si="1"/>
        <v>0.66666666666666663</v>
      </c>
      <c r="V5" t="str">
        <f t="shared" si="2"/>
        <v>Good Performance</v>
      </c>
    </row>
    <row r="6" spans="1:23" x14ac:dyDescent="0.25">
      <c r="A6" t="s">
        <v>8</v>
      </c>
      <c r="B6" t="s">
        <v>56</v>
      </c>
      <c r="C6" t="s">
        <v>38</v>
      </c>
      <c r="D6" t="s">
        <v>45</v>
      </c>
      <c r="E6">
        <v>2470</v>
      </c>
      <c r="F6">
        <v>3</v>
      </c>
      <c r="G6">
        <v>15</v>
      </c>
      <c r="H6">
        <v>37050</v>
      </c>
      <c r="I6">
        <v>0</v>
      </c>
      <c r="J6">
        <v>37050</v>
      </c>
      <c r="K6">
        <v>24700</v>
      </c>
      <c r="L6">
        <v>12350</v>
      </c>
      <c r="M6" s="4">
        <v>41791</v>
      </c>
      <c r="N6">
        <v>6</v>
      </c>
      <c r="O6" t="s">
        <v>26</v>
      </c>
      <c r="P6" t="s">
        <v>15</v>
      </c>
      <c r="Q6" s="9">
        <f t="shared" si="0"/>
        <v>0.33333333333333331</v>
      </c>
      <c r="R6" s="9">
        <f t="shared" si="1"/>
        <v>0.66666666666666663</v>
      </c>
      <c r="V6" t="str">
        <f t="shared" si="2"/>
        <v>Good Performance</v>
      </c>
    </row>
    <row r="7" spans="1:23" x14ac:dyDescent="0.25">
      <c r="A7" t="s">
        <v>10</v>
      </c>
      <c r="B7" t="s">
        <v>19</v>
      </c>
      <c r="C7" t="s">
        <v>38</v>
      </c>
      <c r="D7" t="s">
        <v>45</v>
      </c>
      <c r="E7">
        <v>1513</v>
      </c>
      <c r="F7" s="7" t="s">
        <v>62</v>
      </c>
      <c r="G7">
        <v>350</v>
      </c>
      <c r="H7">
        <v>529550</v>
      </c>
      <c r="I7">
        <v>0</v>
      </c>
      <c r="J7">
        <v>529550</v>
      </c>
      <c r="K7">
        <v>393380</v>
      </c>
      <c r="L7">
        <v>136170</v>
      </c>
      <c r="M7" s="4">
        <v>41974</v>
      </c>
      <c r="N7">
        <v>12</v>
      </c>
      <c r="O7" t="s">
        <v>32</v>
      </c>
      <c r="P7" t="s">
        <v>15</v>
      </c>
      <c r="Q7" s="9">
        <f t="shared" si="0"/>
        <v>0.25714285714285712</v>
      </c>
      <c r="R7" s="9">
        <f t="shared" si="1"/>
        <v>0.74285714285714288</v>
      </c>
      <c r="V7" t="str">
        <f t="shared" si="2"/>
        <v>Good Performance</v>
      </c>
    </row>
    <row r="8" spans="1:23" x14ac:dyDescent="0.25">
      <c r="A8" t="s">
        <v>8</v>
      </c>
      <c r="B8" t="s">
        <v>52</v>
      </c>
      <c r="C8" t="s">
        <v>39</v>
      </c>
      <c r="D8" t="s">
        <v>45</v>
      </c>
      <c r="E8">
        <v>921</v>
      </c>
      <c r="F8" s="2">
        <v>5</v>
      </c>
      <c r="G8">
        <v>15</v>
      </c>
      <c r="H8">
        <v>13815</v>
      </c>
      <c r="I8">
        <v>0</v>
      </c>
      <c r="J8">
        <v>13815</v>
      </c>
      <c r="K8">
        <v>9210</v>
      </c>
      <c r="L8">
        <v>4605</v>
      </c>
      <c r="M8" s="4">
        <v>41699</v>
      </c>
      <c r="N8">
        <v>3</v>
      </c>
      <c r="O8" t="s">
        <v>23</v>
      </c>
      <c r="P8" t="s">
        <v>15</v>
      </c>
      <c r="Q8" s="9">
        <f t="shared" si="0"/>
        <v>0.33333333333333331</v>
      </c>
      <c r="R8" s="9">
        <f t="shared" si="1"/>
        <v>0.66666666666666663</v>
      </c>
      <c r="V8" t="str">
        <f t="shared" si="2"/>
        <v>Good Performance</v>
      </c>
    </row>
    <row r="9" spans="1:23" x14ac:dyDescent="0.25">
      <c r="A9" t="s">
        <v>11</v>
      </c>
      <c r="B9" t="s">
        <v>57</v>
      </c>
      <c r="C9" t="s">
        <v>39</v>
      </c>
      <c r="D9" t="s">
        <v>45</v>
      </c>
      <c r="E9">
        <v>2518</v>
      </c>
      <c r="F9">
        <v>5</v>
      </c>
      <c r="G9">
        <v>12</v>
      </c>
      <c r="H9">
        <v>30216</v>
      </c>
      <c r="I9"/>
      <c r="J9">
        <v>30216</v>
      </c>
      <c r="K9">
        <v>7554</v>
      </c>
      <c r="L9">
        <v>22662</v>
      </c>
      <c r="M9" s="4">
        <v>41791</v>
      </c>
      <c r="N9">
        <v>6</v>
      </c>
      <c r="O9" t="s">
        <v>26</v>
      </c>
      <c r="P9" t="s">
        <v>15</v>
      </c>
      <c r="Q9" s="9">
        <f t="shared" si="0"/>
        <v>0.75</v>
      </c>
      <c r="R9" s="9">
        <f t="shared" si="1"/>
        <v>0.25</v>
      </c>
      <c r="V9" t="str">
        <f t="shared" si="2"/>
        <v>Good Performance</v>
      </c>
    </row>
    <row r="10" spans="1:23" x14ac:dyDescent="0.25">
      <c r="A10" t="s">
        <v>10</v>
      </c>
      <c r="B10" t="s">
        <v>58</v>
      </c>
      <c r="C10" t="s">
        <v>39</v>
      </c>
      <c r="D10" t="s">
        <v>45</v>
      </c>
      <c r="E10">
        <v>1899</v>
      </c>
      <c r="F10">
        <v>5</v>
      </c>
      <c r="G10">
        <v>20</v>
      </c>
      <c r="H10">
        <v>37980</v>
      </c>
      <c r="I10">
        <v>0</v>
      </c>
      <c r="J10">
        <v>37980</v>
      </c>
      <c r="K10">
        <v>18990</v>
      </c>
      <c r="L10">
        <v>18990</v>
      </c>
      <c r="M10" s="4">
        <v>41791</v>
      </c>
      <c r="N10">
        <v>6</v>
      </c>
      <c r="O10" t="s">
        <v>26</v>
      </c>
      <c r="P10" t="s">
        <v>15</v>
      </c>
      <c r="Q10" s="9">
        <f t="shared" si="0"/>
        <v>0.5</v>
      </c>
      <c r="R10" s="9">
        <f t="shared" si="1"/>
        <v>0.5</v>
      </c>
      <c r="V10" t="str">
        <f t="shared" si="2"/>
        <v>Good Performance</v>
      </c>
    </row>
    <row r="11" spans="1:23" x14ac:dyDescent="0.25">
      <c r="A11" t="s">
        <v>11</v>
      </c>
      <c r="B11" t="s">
        <v>54</v>
      </c>
      <c r="C11" t="s">
        <v>39</v>
      </c>
      <c r="D11" t="s">
        <v>45</v>
      </c>
      <c r="E11">
        <v>1545</v>
      </c>
      <c r="F11">
        <v>5</v>
      </c>
      <c r="G11">
        <v>12</v>
      </c>
      <c r="H11">
        <v>18540</v>
      </c>
      <c r="I11"/>
      <c r="J11">
        <v>18540</v>
      </c>
      <c r="K11">
        <v>4635</v>
      </c>
      <c r="L11">
        <v>13905</v>
      </c>
      <c r="M11" s="4">
        <v>41791</v>
      </c>
      <c r="N11">
        <v>6</v>
      </c>
      <c r="O11" t="s">
        <v>26</v>
      </c>
      <c r="P11" t="s">
        <v>15</v>
      </c>
      <c r="Q11" s="9">
        <f t="shared" si="0"/>
        <v>0.75</v>
      </c>
      <c r="R11" s="9">
        <f t="shared" si="1"/>
        <v>0.25</v>
      </c>
      <c r="V11" t="str">
        <f t="shared" si="2"/>
        <v>Good Performance</v>
      </c>
    </row>
    <row r="12" spans="1:23" x14ac:dyDescent="0.25">
      <c r="A12" t="s">
        <v>8</v>
      </c>
      <c r="B12" t="s">
        <v>20</v>
      </c>
      <c r="C12" t="s">
        <v>39</v>
      </c>
      <c r="D12" t="s">
        <v>45</v>
      </c>
      <c r="E12">
        <v>2470</v>
      </c>
      <c r="F12">
        <v>5</v>
      </c>
      <c r="G12">
        <v>15</v>
      </c>
      <c r="H12">
        <v>37050</v>
      </c>
      <c r="I12"/>
      <c r="J12">
        <v>37050</v>
      </c>
      <c r="K12">
        <v>24700</v>
      </c>
      <c r="L12">
        <v>12350</v>
      </c>
      <c r="M12" s="4">
        <v>41791</v>
      </c>
      <c r="N12">
        <v>6</v>
      </c>
      <c r="O12" t="s">
        <v>26</v>
      </c>
      <c r="P12" t="s">
        <v>15</v>
      </c>
      <c r="Q12" s="9">
        <f t="shared" si="0"/>
        <v>0.33333333333333331</v>
      </c>
      <c r="R12" s="9">
        <f t="shared" si="1"/>
        <v>0.66666666666666663</v>
      </c>
      <c r="V12" t="str">
        <f t="shared" si="2"/>
        <v>Good Performance</v>
      </c>
    </row>
    <row r="13" spans="1:23" x14ac:dyDescent="0.25">
      <c r="A13" t="s">
        <v>9</v>
      </c>
      <c r="B13" t="s">
        <v>16</v>
      </c>
      <c r="C13" t="s">
        <v>39</v>
      </c>
      <c r="D13" t="s">
        <v>45</v>
      </c>
      <c r="E13">
        <v>2665.5</v>
      </c>
      <c r="F13">
        <v>5</v>
      </c>
      <c r="G13">
        <v>125</v>
      </c>
      <c r="H13">
        <v>333187.5</v>
      </c>
      <c r="I13">
        <v>0</v>
      </c>
      <c r="J13">
        <v>333187.5</v>
      </c>
      <c r="K13">
        <v>319860</v>
      </c>
      <c r="L13">
        <v>13327.5</v>
      </c>
      <c r="M13" s="4">
        <v>41821</v>
      </c>
      <c r="N13">
        <v>7</v>
      </c>
      <c r="O13" t="s">
        <v>27</v>
      </c>
      <c r="P13" t="s">
        <v>15</v>
      </c>
      <c r="Q13" s="9">
        <f t="shared" si="0"/>
        <v>0.04</v>
      </c>
      <c r="R13" s="9">
        <f t="shared" si="1"/>
        <v>0.96</v>
      </c>
      <c r="V13" t="str">
        <f t="shared" si="2"/>
        <v>Under Review</v>
      </c>
    </row>
    <row r="14" spans="1:23" x14ac:dyDescent="0.25">
      <c r="A14" t="s">
        <v>7</v>
      </c>
      <c r="B14" t="s">
        <v>60</v>
      </c>
      <c r="C14" t="s">
        <v>39</v>
      </c>
      <c r="D14" t="s">
        <v>45</v>
      </c>
      <c r="E14">
        <v>958</v>
      </c>
      <c r="F14">
        <v>5</v>
      </c>
      <c r="G14">
        <v>300</v>
      </c>
      <c r="H14">
        <v>287400</v>
      </c>
      <c r="I14"/>
      <c r="J14">
        <v>287400</v>
      </c>
      <c r="K14">
        <v>239500</v>
      </c>
      <c r="L14">
        <v>47900</v>
      </c>
      <c r="M14" s="4">
        <v>41852</v>
      </c>
      <c r="N14">
        <v>8</v>
      </c>
      <c r="O14" t="s">
        <v>28</v>
      </c>
      <c r="P14" t="s">
        <v>15</v>
      </c>
      <c r="Q14" s="9">
        <f t="shared" si="0"/>
        <v>0.16666666666666666</v>
      </c>
      <c r="R14" s="9">
        <f t="shared" si="1"/>
        <v>0.83333333333333337</v>
      </c>
      <c r="V14" t="str">
        <f t="shared" si="2"/>
        <v>Good Performance</v>
      </c>
    </row>
    <row r="15" spans="1:23" x14ac:dyDescent="0.25">
      <c r="A15" t="s">
        <v>10</v>
      </c>
      <c r="B15" t="s">
        <v>19</v>
      </c>
      <c r="C15" t="s">
        <v>39</v>
      </c>
      <c r="D15" t="s">
        <v>45</v>
      </c>
      <c r="E15">
        <v>2146</v>
      </c>
      <c r="F15">
        <v>5</v>
      </c>
      <c r="G15">
        <v>7</v>
      </c>
      <c r="H15">
        <v>15022</v>
      </c>
      <c r="I15">
        <v>0</v>
      </c>
      <c r="J15">
        <v>15022</v>
      </c>
      <c r="K15">
        <v>10730</v>
      </c>
      <c r="L15">
        <v>4292</v>
      </c>
      <c r="M15" s="4">
        <v>41883</v>
      </c>
      <c r="N15">
        <v>9</v>
      </c>
      <c r="O15" t="s">
        <v>29</v>
      </c>
      <c r="P15" t="s">
        <v>15</v>
      </c>
      <c r="Q15" s="9">
        <f t="shared" si="0"/>
        <v>0.2857142857142857</v>
      </c>
      <c r="R15" s="9">
        <f t="shared" si="1"/>
        <v>0.7142857142857143</v>
      </c>
      <c r="V15" t="str">
        <f t="shared" si="2"/>
        <v>Good Performance</v>
      </c>
    </row>
    <row r="16" spans="1:23" x14ac:dyDescent="0.25">
      <c r="A16" t="s">
        <v>9</v>
      </c>
      <c r="B16" t="s">
        <v>16</v>
      </c>
      <c r="C16" t="s">
        <v>39</v>
      </c>
      <c r="D16" t="s">
        <v>45</v>
      </c>
      <c r="E16">
        <v>345</v>
      </c>
      <c r="F16">
        <v>5</v>
      </c>
      <c r="G16">
        <v>125</v>
      </c>
      <c r="H16">
        <v>43125</v>
      </c>
      <c r="I16"/>
      <c r="J16">
        <v>43125</v>
      </c>
      <c r="K16">
        <v>41400</v>
      </c>
      <c r="L16">
        <v>1725</v>
      </c>
      <c r="M16" s="4">
        <v>41548</v>
      </c>
      <c r="N16">
        <v>10</v>
      </c>
      <c r="O16" t="s">
        <v>30</v>
      </c>
      <c r="P16" t="s">
        <v>14</v>
      </c>
      <c r="Q16" s="9">
        <f t="shared" si="0"/>
        <v>0.04</v>
      </c>
      <c r="R16" s="9">
        <f t="shared" si="1"/>
        <v>0.96</v>
      </c>
      <c r="V16" t="str">
        <f t="shared" si="2"/>
        <v>Under Review</v>
      </c>
    </row>
    <row r="17" spans="1:22" ht="27.6" x14ac:dyDescent="0.25">
      <c r="A17" t="s">
        <v>8</v>
      </c>
      <c r="B17" s="6" t="s">
        <v>61</v>
      </c>
      <c r="C17" t="s">
        <v>39</v>
      </c>
      <c r="D17" t="s">
        <v>45</v>
      </c>
      <c r="E17">
        <v>615</v>
      </c>
      <c r="F17">
        <v>5</v>
      </c>
      <c r="G17">
        <v>15</v>
      </c>
      <c r="H17">
        <v>9225</v>
      </c>
      <c r="I17">
        <v>0</v>
      </c>
      <c r="J17">
        <v>9225</v>
      </c>
      <c r="K17">
        <v>6150</v>
      </c>
      <c r="L17">
        <v>3075</v>
      </c>
      <c r="M17" s="4">
        <v>41974</v>
      </c>
      <c r="N17">
        <v>12</v>
      </c>
      <c r="O17" t="s">
        <v>32</v>
      </c>
      <c r="P17" t="s">
        <v>15</v>
      </c>
      <c r="Q17" s="9">
        <f t="shared" si="0"/>
        <v>0.33333333333333331</v>
      </c>
      <c r="R17" s="9">
        <f t="shared" si="1"/>
        <v>0.66666666666666663</v>
      </c>
      <c r="V17" t="str">
        <f t="shared" si="2"/>
        <v>Good Performance</v>
      </c>
    </row>
    <row r="18" spans="1:22" x14ac:dyDescent="0.25">
      <c r="A18" t="s">
        <v>10</v>
      </c>
      <c r="B18" t="s">
        <v>16</v>
      </c>
      <c r="C18" t="s">
        <v>40</v>
      </c>
      <c r="D18" t="s">
        <v>45</v>
      </c>
      <c r="E18">
        <v>292</v>
      </c>
      <c r="F18">
        <v>10</v>
      </c>
      <c r="G18">
        <v>20</v>
      </c>
      <c r="H18">
        <v>5840</v>
      </c>
      <c r="I18">
        <v>0</v>
      </c>
      <c r="J18">
        <v>5840</v>
      </c>
      <c r="K18">
        <v>2920</v>
      </c>
      <c r="L18">
        <v>2920</v>
      </c>
      <c r="M18" s="4">
        <v>41671</v>
      </c>
      <c r="N18">
        <v>2</v>
      </c>
      <c r="O18" t="s">
        <v>22</v>
      </c>
      <c r="P18" t="s">
        <v>15</v>
      </c>
      <c r="Q18" s="9">
        <f t="shared" si="0"/>
        <v>0.5</v>
      </c>
      <c r="R18" s="9">
        <f t="shared" si="1"/>
        <v>0.5</v>
      </c>
      <c r="V18" t="str">
        <f t="shared" si="2"/>
        <v>Good Performance</v>
      </c>
    </row>
    <row r="19" spans="1:22" x14ac:dyDescent="0.25">
      <c r="A19" t="s">
        <v>8</v>
      </c>
      <c r="B19" t="s">
        <v>53</v>
      </c>
      <c r="C19" t="s">
        <v>40</v>
      </c>
      <c r="D19" t="s">
        <v>45</v>
      </c>
      <c r="E19">
        <v>974</v>
      </c>
      <c r="F19">
        <v>10</v>
      </c>
      <c r="G19">
        <v>15</v>
      </c>
      <c r="H19">
        <v>14610</v>
      </c>
      <c r="I19"/>
      <c r="J19">
        <v>14610</v>
      </c>
      <c r="K19">
        <v>9740</v>
      </c>
      <c r="L19">
        <v>4870</v>
      </c>
      <c r="M19" s="4">
        <v>41671</v>
      </c>
      <c r="N19">
        <v>2</v>
      </c>
      <c r="O19" t="s">
        <v>22</v>
      </c>
      <c r="P19" t="s">
        <v>15</v>
      </c>
      <c r="Q19" s="9">
        <f t="shared" si="0"/>
        <v>0.33333333333333331</v>
      </c>
      <c r="R19" s="9">
        <f t="shared" si="1"/>
        <v>0.66666666666666663</v>
      </c>
      <c r="V19" t="str">
        <f t="shared" si="2"/>
        <v>Good Performance</v>
      </c>
    </row>
    <row r="20" spans="1:22" x14ac:dyDescent="0.25">
      <c r="A20" t="s">
        <v>11</v>
      </c>
      <c r="B20" t="s">
        <v>59</v>
      </c>
      <c r="C20" t="s">
        <v>40</v>
      </c>
      <c r="D20" t="s">
        <v>45</v>
      </c>
      <c r="E20">
        <v>2518</v>
      </c>
      <c r="F20">
        <v>10</v>
      </c>
      <c r="G20">
        <v>12</v>
      </c>
      <c r="H20">
        <v>30216</v>
      </c>
      <c r="I20">
        <v>0</v>
      </c>
      <c r="J20">
        <v>30216</v>
      </c>
      <c r="K20">
        <v>7554</v>
      </c>
      <c r="L20">
        <v>22662</v>
      </c>
      <c r="M20" s="4">
        <v>41791</v>
      </c>
      <c r="N20">
        <v>6</v>
      </c>
      <c r="O20" t="s">
        <v>26</v>
      </c>
      <c r="P20" t="s">
        <v>15</v>
      </c>
      <c r="Q20" s="9">
        <f t="shared" si="0"/>
        <v>0.75</v>
      </c>
      <c r="R20" s="9">
        <f t="shared" si="1"/>
        <v>0.25</v>
      </c>
      <c r="V20" t="str">
        <f t="shared" si="2"/>
        <v>Good Performance</v>
      </c>
    </row>
    <row r="21" spans="1:22" x14ac:dyDescent="0.25">
      <c r="A21" t="s">
        <v>10</v>
      </c>
      <c r="B21" t="s">
        <v>19</v>
      </c>
      <c r="C21" t="s">
        <v>40</v>
      </c>
      <c r="D21" t="s">
        <v>45</v>
      </c>
      <c r="E21">
        <v>1006</v>
      </c>
      <c r="F21">
        <v>10</v>
      </c>
      <c r="G21">
        <v>350</v>
      </c>
      <c r="H21">
        <v>352100</v>
      </c>
      <c r="I21">
        <v>0</v>
      </c>
      <c r="J21">
        <v>352100</v>
      </c>
      <c r="K21">
        <v>261560</v>
      </c>
      <c r="L21">
        <v>90540</v>
      </c>
      <c r="M21" s="4">
        <v>41791</v>
      </c>
      <c r="N21">
        <v>6</v>
      </c>
      <c r="O21" t="s">
        <v>26</v>
      </c>
      <c r="P21" t="s">
        <v>15</v>
      </c>
      <c r="Q21" s="9">
        <f t="shared" si="0"/>
        <v>0.25714285714285712</v>
      </c>
      <c r="R21" s="9">
        <f t="shared" si="1"/>
        <v>0.74285714285714288</v>
      </c>
      <c r="V21" t="str">
        <f t="shared" si="2"/>
        <v>Good Performance</v>
      </c>
    </row>
    <row r="22" spans="1:22" x14ac:dyDescent="0.25">
      <c r="A22" t="s">
        <v>11</v>
      </c>
      <c r="B22" t="s">
        <v>19</v>
      </c>
      <c r="C22" t="s">
        <v>40</v>
      </c>
      <c r="D22" t="s">
        <v>45</v>
      </c>
      <c r="E22">
        <v>367</v>
      </c>
      <c r="F22">
        <v>10</v>
      </c>
      <c r="G22">
        <v>12</v>
      </c>
      <c r="H22">
        <v>4404</v>
      </c>
      <c r="I22">
        <v>0</v>
      </c>
      <c r="J22">
        <v>4404</v>
      </c>
      <c r="K22">
        <v>1101</v>
      </c>
      <c r="L22">
        <v>3303</v>
      </c>
      <c r="M22" s="4">
        <v>41821</v>
      </c>
      <c r="N22">
        <v>7</v>
      </c>
      <c r="O22" t="s">
        <v>27</v>
      </c>
      <c r="P22" t="s">
        <v>15</v>
      </c>
      <c r="Q22" s="9">
        <f t="shared" si="0"/>
        <v>0.75</v>
      </c>
      <c r="R22" s="9">
        <f t="shared" si="1"/>
        <v>0.25</v>
      </c>
      <c r="V22" t="str">
        <f t="shared" si="2"/>
        <v>Good Performance</v>
      </c>
    </row>
    <row r="23" spans="1:22" x14ac:dyDescent="0.25">
      <c r="A23" t="s">
        <v>10</v>
      </c>
      <c r="B23" t="s">
        <v>20</v>
      </c>
      <c r="C23" t="s">
        <v>40</v>
      </c>
      <c r="D23" t="s">
        <v>45</v>
      </c>
      <c r="E23">
        <v>883</v>
      </c>
      <c r="F23">
        <v>10</v>
      </c>
      <c r="G23">
        <v>7</v>
      </c>
      <c r="H23">
        <v>6181</v>
      </c>
      <c r="I23">
        <v>0</v>
      </c>
      <c r="J23">
        <v>6181</v>
      </c>
      <c r="K23">
        <v>4415</v>
      </c>
      <c r="L23">
        <v>1766</v>
      </c>
      <c r="M23" s="4">
        <v>41852</v>
      </c>
      <c r="N23">
        <v>8</v>
      </c>
      <c r="O23" t="s">
        <v>28</v>
      </c>
      <c r="P23" t="s">
        <v>15</v>
      </c>
      <c r="Q23" s="9">
        <f t="shared" si="0"/>
        <v>0.2857142857142857</v>
      </c>
      <c r="R23" s="9">
        <f t="shared" si="1"/>
        <v>0.7142857142857143</v>
      </c>
      <c r="V23" t="str">
        <f t="shared" si="2"/>
        <v>Good Performance</v>
      </c>
    </row>
    <row r="24" spans="1:22" x14ac:dyDescent="0.25">
      <c r="A24" t="s">
        <v>8</v>
      </c>
      <c r="B24" t="s">
        <v>18</v>
      </c>
      <c r="C24" t="s">
        <v>40</v>
      </c>
      <c r="D24" t="s">
        <v>45</v>
      </c>
      <c r="E24">
        <v>549</v>
      </c>
      <c r="F24">
        <v>10</v>
      </c>
      <c r="G24">
        <v>15</v>
      </c>
      <c r="H24">
        <v>8235</v>
      </c>
      <c r="I24">
        <v>0</v>
      </c>
      <c r="J24">
        <v>8235</v>
      </c>
      <c r="K24">
        <v>5490</v>
      </c>
      <c r="L24">
        <v>2745</v>
      </c>
      <c r="M24" s="4">
        <v>41518</v>
      </c>
      <c r="N24">
        <v>9</v>
      </c>
      <c r="O24" t="s">
        <v>29</v>
      </c>
      <c r="P24" t="s">
        <v>14</v>
      </c>
      <c r="Q24" s="9">
        <f t="shared" si="0"/>
        <v>0.33333333333333331</v>
      </c>
      <c r="R24" s="9">
        <f t="shared" si="1"/>
        <v>0.66666666666666663</v>
      </c>
      <c r="V24" t="str">
        <f t="shared" si="2"/>
        <v>Good Performance</v>
      </c>
    </row>
    <row r="25" spans="1:22" x14ac:dyDescent="0.25">
      <c r="A25" t="s">
        <v>7</v>
      </c>
      <c r="B25" t="s">
        <v>20</v>
      </c>
      <c r="C25" t="s">
        <v>40</v>
      </c>
      <c r="D25" t="s">
        <v>45</v>
      </c>
      <c r="E25">
        <v>788</v>
      </c>
      <c r="F25">
        <v>10</v>
      </c>
      <c r="G25">
        <v>300</v>
      </c>
      <c r="H25">
        <v>236400</v>
      </c>
      <c r="I25">
        <v>0</v>
      </c>
      <c r="J25">
        <v>236400</v>
      </c>
      <c r="K25">
        <v>197000</v>
      </c>
      <c r="L25">
        <v>39400</v>
      </c>
      <c r="M25" s="4">
        <v>41518</v>
      </c>
      <c r="N25">
        <v>9</v>
      </c>
      <c r="O25" t="s">
        <v>29</v>
      </c>
      <c r="P25" t="s">
        <v>14</v>
      </c>
      <c r="Q25" s="9">
        <f t="shared" si="0"/>
        <v>0.16666666666666666</v>
      </c>
      <c r="R25" s="9">
        <f t="shared" si="1"/>
        <v>0.83333333333333337</v>
      </c>
      <c r="V25" t="str">
        <f t="shared" si="2"/>
        <v>Good Performance</v>
      </c>
    </row>
    <row r="26" spans="1:22" x14ac:dyDescent="0.25">
      <c r="A26" t="s">
        <v>8</v>
      </c>
      <c r="B26" t="s">
        <v>20</v>
      </c>
      <c r="C26" t="s">
        <v>40</v>
      </c>
      <c r="D26" t="s">
        <v>45</v>
      </c>
      <c r="E26">
        <v>2472</v>
      </c>
      <c r="F26">
        <v>10</v>
      </c>
      <c r="G26">
        <v>15</v>
      </c>
      <c r="H26">
        <v>37080</v>
      </c>
      <c r="I26">
        <v>0</v>
      </c>
      <c r="J26">
        <v>37080</v>
      </c>
      <c r="K26">
        <v>24720</v>
      </c>
      <c r="L26">
        <v>12360</v>
      </c>
      <c r="M26" s="4">
        <v>41883</v>
      </c>
      <c r="N26">
        <v>9</v>
      </c>
      <c r="O26" t="s">
        <v>29</v>
      </c>
      <c r="P26" t="s">
        <v>15</v>
      </c>
      <c r="Q26" s="9">
        <f t="shared" si="0"/>
        <v>0.33333333333333331</v>
      </c>
      <c r="R26" s="9">
        <f t="shared" si="1"/>
        <v>0.66666666666666663</v>
      </c>
      <c r="V26" t="str">
        <f t="shared" si="2"/>
        <v>Good Performance</v>
      </c>
    </row>
    <row r="27" spans="1:22" ht="27.6" x14ac:dyDescent="0.25">
      <c r="A27" t="s">
        <v>10</v>
      </c>
      <c r="B27" s="6" t="s">
        <v>61</v>
      </c>
      <c r="C27" t="s">
        <v>40</v>
      </c>
      <c r="D27" t="s">
        <v>45</v>
      </c>
      <c r="E27">
        <v>1143</v>
      </c>
      <c r="F27">
        <v>10</v>
      </c>
      <c r="G27">
        <v>7</v>
      </c>
      <c r="H27">
        <v>8001</v>
      </c>
      <c r="I27">
        <v>0</v>
      </c>
      <c r="J27">
        <v>8001</v>
      </c>
      <c r="K27">
        <v>5715</v>
      </c>
      <c r="L27">
        <v>2286</v>
      </c>
      <c r="M27" s="4">
        <v>41913</v>
      </c>
      <c r="N27">
        <v>10</v>
      </c>
      <c r="O27" t="s">
        <v>30</v>
      </c>
      <c r="P27" t="s">
        <v>15</v>
      </c>
      <c r="Q27" s="9">
        <f t="shared" si="0"/>
        <v>0.2857142857142857</v>
      </c>
      <c r="R27" s="9">
        <f t="shared" si="1"/>
        <v>0.7142857142857143</v>
      </c>
      <c r="V27" t="str">
        <f t="shared" si="2"/>
        <v>Good Performance</v>
      </c>
    </row>
    <row r="28" spans="1:22" x14ac:dyDescent="0.25">
      <c r="A28" t="s">
        <v>10</v>
      </c>
      <c r="B28" t="s">
        <v>16</v>
      </c>
      <c r="C28" t="s">
        <v>40</v>
      </c>
      <c r="D28" t="s">
        <v>45</v>
      </c>
      <c r="E28">
        <v>1725</v>
      </c>
      <c r="F28">
        <v>10</v>
      </c>
      <c r="G28">
        <v>350</v>
      </c>
      <c r="H28">
        <v>603750</v>
      </c>
      <c r="I28">
        <v>0</v>
      </c>
      <c r="J28">
        <v>603750</v>
      </c>
      <c r="K28">
        <v>448500</v>
      </c>
      <c r="L28">
        <v>155250</v>
      </c>
      <c r="M28" s="4">
        <v>41579</v>
      </c>
      <c r="N28">
        <v>11</v>
      </c>
      <c r="O28" t="s">
        <v>31</v>
      </c>
      <c r="P28" t="s">
        <v>14</v>
      </c>
      <c r="Q28" s="9">
        <f t="shared" si="0"/>
        <v>0.25714285714285712</v>
      </c>
      <c r="R28" s="9">
        <f t="shared" si="1"/>
        <v>0.74285714285714288</v>
      </c>
      <c r="V28" t="str">
        <f t="shared" si="2"/>
        <v>Good Performance</v>
      </c>
    </row>
    <row r="29" spans="1:22" x14ac:dyDescent="0.25">
      <c r="A29" t="s">
        <v>11</v>
      </c>
      <c r="B29" t="s">
        <v>17</v>
      </c>
      <c r="C29" t="s">
        <v>40</v>
      </c>
      <c r="D29" t="s">
        <v>45</v>
      </c>
      <c r="E29">
        <v>912</v>
      </c>
      <c r="F29">
        <v>10</v>
      </c>
      <c r="G29">
        <v>12</v>
      </c>
      <c r="H29">
        <v>10944</v>
      </c>
      <c r="I29">
        <v>0</v>
      </c>
      <c r="J29">
        <v>10944</v>
      </c>
      <c r="K29">
        <v>2736</v>
      </c>
      <c r="L29">
        <v>8208</v>
      </c>
      <c r="M29" s="4">
        <v>41579</v>
      </c>
      <c r="N29">
        <v>11</v>
      </c>
      <c r="O29" t="s">
        <v>31</v>
      </c>
      <c r="P29" t="s">
        <v>14</v>
      </c>
      <c r="Q29" s="9">
        <f t="shared" si="0"/>
        <v>0.75</v>
      </c>
      <c r="R29" s="9">
        <f t="shared" si="1"/>
        <v>0.25</v>
      </c>
      <c r="V29" t="str">
        <f t="shared" si="2"/>
        <v>Good Performance</v>
      </c>
    </row>
    <row r="30" spans="1:22" x14ac:dyDescent="0.25">
      <c r="A30" t="s">
        <v>8</v>
      </c>
      <c r="B30" t="s">
        <v>16</v>
      </c>
      <c r="C30" t="s">
        <v>40</v>
      </c>
      <c r="D30" t="s">
        <v>45</v>
      </c>
      <c r="E30">
        <v>2152</v>
      </c>
      <c r="F30">
        <v>10</v>
      </c>
      <c r="G30">
        <v>15</v>
      </c>
      <c r="H30">
        <v>32280</v>
      </c>
      <c r="I30">
        <v>0</v>
      </c>
      <c r="J30">
        <v>32280</v>
      </c>
      <c r="K30">
        <v>21520</v>
      </c>
      <c r="L30">
        <v>10760</v>
      </c>
      <c r="M30" s="4">
        <v>41609</v>
      </c>
      <c r="N30">
        <v>12</v>
      </c>
      <c r="O30" t="s">
        <v>32</v>
      </c>
      <c r="P30" t="s">
        <v>14</v>
      </c>
      <c r="Q30" s="9">
        <f t="shared" si="0"/>
        <v>0.33333333333333331</v>
      </c>
      <c r="R30" s="9">
        <f t="shared" si="1"/>
        <v>0.66666666666666663</v>
      </c>
      <c r="V30" t="str">
        <f t="shared" si="2"/>
        <v>Good Performance</v>
      </c>
    </row>
    <row r="31" spans="1:22" x14ac:dyDescent="0.25">
      <c r="A31" t="s">
        <v>10</v>
      </c>
      <c r="B31" t="s">
        <v>16</v>
      </c>
      <c r="C31" t="s">
        <v>40</v>
      </c>
      <c r="D31" t="s">
        <v>45</v>
      </c>
      <c r="E31">
        <v>1817</v>
      </c>
      <c r="F31">
        <v>10</v>
      </c>
      <c r="G31">
        <v>20</v>
      </c>
      <c r="H31">
        <v>36340</v>
      </c>
      <c r="I31">
        <v>0</v>
      </c>
      <c r="J31">
        <v>36340</v>
      </c>
      <c r="K31">
        <v>18170</v>
      </c>
      <c r="L31">
        <v>18170</v>
      </c>
      <c r="M31" s="4">
        <v>41974</v>
      </c>
      <c r="N31">
        <v>12</v>
      </c>
      <c r="O31" t="s">
        <v>32</v>
      </c>
      <c r="P31" t="s">
        <v>15</v>
      </c>
      <c r="Q31" s="9">
        <f t="shared" si="0"/>
        <v>0.5</v>
      </c>
      <c r="R31" s="9">
        <f t="shared" si="1"/>
        <v>0.5</v>
      </c>
      <c r="V31" t="str">
        <f t="shared" si="2"/>
        <v>Good Performance</v>
      </c>
    </row>
    <row r="32" spans="1:22" x14ac:dyDescent="0.25">
      <c r="A32" t="s">
        <v>10</v>
      </c>
      <c r="B32" t="s">
        <v>19</v>
      </c>
      <c r="C32" t="s">
        <v>40</v>
      </c>
      <c r="D32" t="s">
        <v>45</v>
      </c>
      <c r="E32">
        <v>1513</v>
      </c>
      <c r="F32">
        <v>10</v>
      </c>
      <c r="G32">
        <v>350</v>
      </c>
      <c r="H32">
        <v>529550</v>
      </c>
      <c r="I32">
        <v>0</v>
      </c>
      <c r="J32">
        <v>529550</v>
      </c>
      <c r="K32">
        <v>393380</v>
      </c>
      <c r="L32">
        <v>136170</v>
      </c>
      <c r="M32" s="4">
        <v>41974</v>
      </c>
      <c r="N32">
        <v>12</v>
      </c>
      <c r="O32" t="s">
        <v>32</v>
      </c>
      <c r="P32" t="s">
        <v>15</v>
      </c>
      <c r="Q32" s="9">
        <f t="shared" si="0"/>
        <v>0.25714285714285712</v>
      </c>
      <c r="R32" s="9">
        <f t="shared" si="1"/>
        <v>0.74285714285714288</v>
      </c>
      <c r="V32" t="str">
        <f t="shared" si="2"/>
        <v>Good Performance</v>
      </c>
    </row>
    <row r="33" spans="1:22" x14ac:dyDescent="0.25">
      <c r="A33" t="s">
        <v>10</v>
      </c>
      <c r="B33" t="s">
        <v>20</v>
      </c>
      <c r="C33" t="s">
        <v>41</v>
      </c>
      <c r="D33" t="s">
        <v>45</v>
      </c>
      <c r="E33">
        <v>1493</v>
      </c>
      <c r="F33">
        <v>120</v>
      </c>
      <c r="G33">
        <v>7</v>
      </c>
      <c r="H33">
        <v>10451</v>
      </c>
      <c r="I33">
        <v>0</v>
      </c>
      <c r="J33">
        <v>10451</v>
      </c>
      <c r="K33">
        <v>7465</v>
      </c>
      <c r="L33">
        <v>2986</v>
      </c>
      <c r="M33" s="4">
        <v>41640</v>
      </c>
      <c r="N33">
        <v>1</v>
      </c>
      <c r="O33" t="s">
        <v>21</v>
      </c>
      <c r="P33" t="s">
        <v>15</v>
      </c>
      <c r="Q33" s="9">
        <f t="shared" si="0"/>
        <v>0.2857142857142857</v>
      </c>
      <c r="R33" s="9">
        <f t="shared" si="1"/>
        <v>0.7142857142857143</v>
      </c>
      <c r="V33" t="str">
        <f t="shared" si="2"/>
        <v>Good Performance</v>
      </c>
    </row>
    <row r="34" spans="1:22" x14ac:dyDescent="0.25">
      <c r="A34" t="s">
        <v>9</v>
      </c>
      <c r="B34" t="s">
        <v>18</v>
      </c>
      <c r="C34" t="s">
        <v>41</v>
      </c>
      <c r="D34" t="s">
        <v>45</v>
      </c>
      <c r="E34">
        <v>1804</v>
      </c>
      <c r="F34">
        <v>120</v>
      </c>
      <c r="G34">
        <v>125</v>
      </c>
      <c r="H34">
        <v>225500</v>
      </c>
      <c r="I34">
        <v>0</v>
      </c>
      <c r="J34">
        <v>225500</v>
      </c>
      <c r="K34">
        <v>216480</v>
      </c>
      <c r="L34">
        <v>9020</v>
      </c>
      <c r="M34" s="4">
        <v>41671</v>
      </c>
      <c r="N34">
        <v>2</v>
      </c>
      <c r="O34" t="s">
        <v>22</v>
      </c>
      <c r="P34" t="s">
        <v>15</v>
      </c>
      <c r="Q34" s="9">
        <f t="shared" si="0"/>
        <v>0.04</v>
      </c>
      <c r="R34" s="9">
        <f t="shared" si="1"/>
        <v>0.96</v>
      </c>
      <c r="V34" t="str">
        <f t="shared" si="2"/>
        <v>Under Review</v>
      </c>
    </row>
    <row r="35" spans="1:22" x14ac:dyDescent="0.25">
      <c r="A35" t="s">
        <v>11</v>
      </c>
      <c r="B35" t="s">
        <v>19</v>
      </c>
      <c r="C35" t="s">
        <v>41</v>
      </c>
      <c r="D35" t="s">
        <v>45</v>
      </c>
      <c r="E35">
        <v>2161</v>
      </c>
      <c r="F35">
        <v>120</v>
      </c>
      <c r="G35">
        <v>12</v>
      </c>
      <c r="H35">
        <v>25932</v>
      </c>
      <c r="I35">
        <v>0</v>
      </c>
      <c r="J35">
        <v>25932</v>
      </c>
      <c r="K35">
        <v>6483</v>
      </c>
      <c r="L35">
        <v>19449</v>
      </c>
      <c r="M35" s="4">
        <v>41699</v>
      </c>
      <c r="N35">
        <v>3</v>
      </c>
      <c r="O35" t="s">
        <v>23</v>
      </c>
      <c r="P35" t="s">
        <v>15</v>
      </c>
      <c r="Q35" s="9">
        <f t="shared" si="0"/>
        <v>0.75</v>
      </c>
      <c r="R35" s="9">
        <f t="shared" si="1"/>
        <v>0.25</v>
      </c>
      <c r="V35" t="str">
        <f t="shared" si="2"/>
        <v>Good Performance</v>
      </c>
    </row>
    <row r="36" spans="1:22" x14ac:dyDescent="0.25">
      <c r="A36" t="s">
        <v>10</v>
      </c>
      <c r="B36" t="s">
        <v>19</v>
      </c>
      <c r="C36" t="s">
        <v>41</v>
      </c>
      <c r="D36" t="s">
        <v>45</v>
      </c>
      <c r="E36">
        <v>1006</v>
      </c>
      <c r="F36">
        <v>120</v>
      </c>
      <c r="G36">
        <v>350</v>
      </c>
      <c r="H36">
        <v>352100</v>
      </c>
      <c r="I36">
        <v>0</v>
      </c>
      <c r="J36">
        <v>352100</v>
      </c>
      <c r="K36">
        <v>261560</v>
      </c>
      <c r="L36">
        <v>90540</v>
      </c>
      <c r="M36" s="4">
        <v>41791</v>
      </c>
      <c r="N36">
        <v>6</v>
      </c>
      <c r="O36" t="s">
        <v>26</v>
      </c>
      <c r="P36" t="s">
        <v>15</v>
      </c>
      <c r="Q36" s="9">
        <f t="shared" si="0"/>
        <v>0.25714285714285712</v>
      </c>
      <c r="R36" s="9">
        <f t="shared" si="1"/>
        <v>0.74285714285714288</v>
      </c>
      <c r="V36" t="str">
        <f t="shared" si="2"/>
        <v>Good Performance</v>
      </c>
    </row>
    <row r="37" spans="1:22" x14ac:dyDescent="0.25">
      <c r="A37" t="s">
        <v>11</v>
      </c>
      <c r="B37" t="s">
        <v>19</v>
      </c>
      <c r="C37" t="s">
        <v>41</v>
      </c>
      <c r="D37" t="s">
        <v>45</v>
      </c>
      <c r="E37">
        <v>1545</v>
      </c>
      <c r="F37">
        <v>120</v>
      </c>
      <c r="G37">
        <v>12</v>
      </c>
      <c r="H37">
        <v>18540</v>
      </c>
      <c r="I37">
        <v>0</v>
      </c>
      <c r="J37">
        <v>18540</v>
      </c>
      <c r="K37">
        <v>4635</v>
      </c>
      <c r="L37">
        <v>13905</v>
      </c>
      <c r="M37" s="4">
        <v>41791</v>
      </c>
      <c r="N37">
        <v>6</v>
      </c>
      <c r="O37" t="s">
        <v>26</v>
      </c>
      <c r="P37" t="s">
        <v>15</v>
      </c>
      <c r="Q37" s="9">
        <f t="shared" si="0"/>
        <v>0.75</v>
      </c>
      <c r="R37" s="9">
        <f t="shared" si="1"/>
        <v>0.25</v>
      </c>
      <c r="V37" t="str">
        <f t="shared" si="2"/>
        <v>Good Performance</v>
      </c>
    </row>
    <row r="38" spans="1:22" x14ac:dyDescent="0.25">
      <c r="A38" t="s">
        <v>9</v>
      </c>
      <c r="B38" t="s">
        <v>17</v>
      </c>
      <c r="C38" t="s">
        <v>41</v>
      </c>
      <c r="D38" t="s">
        <v>45</v>
      </c>
      <c r="E38">
        <v>2821</v>
      </c>
      <c r="F38">
        <v>120</v>
      </c>
      <c r="G38">
        <v>125</v>
      </c>
      <c r="H38">
        <v>352625</v>
      </c>
      <c r="I38">
        <v>0</v>
      </c>
      <c r="J38">
        <v>352625</v>
      </c>
      <c r="K38">
        <v>338520</v>
      </c>
      <c r="L38">
        <v>14105</v>
      </c>
      <c r="M38" s="4">
        <v>41852</v>
      </c>
      <c r="N38">
        <v>8</v>
      </c>
      <c r="O38" t="s">
        <v>28</v>
      </c>
      <c r="P38" t="s">
        <v>15</v>
      </c>
      <c r="Q38" s="9">
        <f t="shared" si="0"/>
        <v>0.04</v>
      </c>
      <c r="R38" s="9">
        <f t="shared" si="1"/>
        <v>0.96</v>
      </c>
      <c r="V38" t="str">
        <f t="shared" si="2"/>
        <v>Under Review</v>
      </c>
    </row>
    <row r="39" spans="1:22" x14ac:dyDescent="0.25">
      <c r="A39" t="s">
        <v>9</v>
      </c>
      <c r="B39" t="s">
        <v>16</v>
      </c>
      <c r="C39" t="s">
        <v>41</v>
      </c>
      <c r="D39" t="s">
        <v>45</v>
      </c>
      <c r="E39">
        <v>345</v>
      </c>
      <c r="F39">
        <v>120</v>
      </c>
      <c r="G39">
        <v>125</v>
      </c>
      <c r="H39">
        <v>43125</v>
      </c>
      <c r="I39">
        <v>0</v>
      </c>
      <c r="J39">
        <v>43125</v>
      </c>
      <c r="K39">
        <v>41400</v>
      </c>
      <c r="L39">
        <v>1725</v>
      </c>
      <c r="M39" s="4">
        <v>41548</v>
      </c>
      <c r="N39">
        <v>10</v>
      </c>
      <c r="O39" t="s">
        <v>30</v>
      </c>
      <c r="P39" t="s">
        <v>14</v>
      </c>
      <c r="Q39" s="9">
        <f t="shared" si="0"/>
        <v>0.04</v>
      </c>
      <c r="R39" s="9">
        <f t="shared" si="1"/>
        <v>0.96</v>
      </c>
      <c r="V39" t="str">
        <f t="shared" si="2"/>
        <v>Under Review</v>
      </c>
    </row>
    <row r="40" spans="1:22" x14ac:dyDescent="0.25">
      <c r="A40" t="s">
        <v>7</v>
      </c>
      <c r="B40" t="s">
        <v>16</v>
      </c>
      <c r="C40" t="s">
        <v>42</v>
      </c>
      <c r="D40" t="s">
        <v>45</v>
      </c>
      <c r="E40">
        <v>2001</v>
      </c>
      <c r="F40">
        <v>250</v>
      </c>
      <c r="G40">
        <v>300</v>
      </c>
      <c r="H40">
        <v>600300</v>
      </c>
      <c r="I40">
        <v>0</v>
      </c>
      <c r="J40">
        <v>600300</v>
      </c>
      <c r="K40">
        <v>500250</v>
      </c>
      <c r="L40">
        <v>100050</v>
      </c>
      <c r="M40" s="4">
        <v>41671</v>
      </c>
      <c r="N40">
        <v>2</v>
      </c>
      <c r="O40" t="s">
        <v>22</v>
      </c>
      <c r="P40" t="s">
        <v>15</v>
      </c>
      <c r="Q40" s="9">
        <f t="shared" si="0"/>
        <v>0.16666666666666666</v>
      </c>
      <c r="R40" s="9">
        <f t="shared" si="1"/>
        <v>0.83333333333333337</v>
      </c>
      <c r="V40" t="str">
        <f t="shared" si="2"/>
        <v>Good Performance</v>
      </c>
    </row>
    <row r="41" spans="1:22" x14ac:dyDescent="0.25">
      <c r="A41" t="s">
        <v>11</v>
      </c>
      <c r="B41" t="s">
        <v>19</v>
      </c>
      <c r="C41" t="s">
        <v>42</v>
      </c>
      <c r="D41" t="s">
        <v>45</v>
      </c>
      <c r="E41">
        <v>2838</v>
      </c>
      <c r="F41">
        <v>250</v>
      </c>
      <c r="G41">
        <v>12</v>
      </c>
      <c r="H41">
        <v>34056</v>
      </c>
      <c r="I41">
        <v>0</v>
      </c>
      <c r="J41">
        <v>34056</v>
      </c>
      <c r="K41">
        <v>8514</v>
      </c>
      <c r="L41">
        <v>25542</v>
      </c>
      <c r="M41" s="4">
        <v>41730</v>
      </c>
      <c r="N41">
        <v>4</v>
      </c>
      <c r="O41" t="s">
        <v>24</v>
      </c>
      <c r="P41" t="s">
        <v>15</v>
      </c>
      <c r="Q41" s="9">
        <f t="shared" si="0"/>
        <v>0.75</v>
      </c>
      <c r="R41" s="9">
        <f t="shared" si="1"/>
        <v>0.25</v>
      </c>
      <c r="V41" t="str">
        <f t="shared" si="2"/>
        <v>Good Performance</v>
      </c>
    </row>
    <row r="42" spans="1:22" x14ac:dyDescent="0.25">
      <c r="A42" t="s">
        <v>8</v>
      </c>
      <c r="B42" t="s">
        <v>18</v>
      </c>
      <c r="C42" t="s">
        <v>42</v>
      </c>
      <c r="D42" t="s">
        <v>45</v>
      </c>
      <c r="E42">
        <v>2178</v>
      </c>
      <c r="F42">
        <v>250</v>
      </c>
      <c r="G42">
        <v>15</v>
      </c>
      <c r="H42">
        <v>32670</v>
      </c>
      <c r="I42">
        <v>0</v>
      </c>
      <c r="J42">
        <v>32670</v>
      </c>
      <c r="K42">
        <v>21780</v>
      </c>
      <c r="L42">
        <v>10890</v>
      </c>
      <c r="M42" s="4">
        <v>41791</v>
      </c>
      <c r="N42">
        <v>6</v>
      </c>
      <c r="O42" t="s">
        <v>26</v>
      </c>
      <c r="P42" t="s">
        <v>15</v>
      </c>
      <c r="Q42" s="9">
        <f t="shared" si="0"/>
        <v>0.33333333333333331</v>
      </c>
      <c r="R42" s="9">
        <f t="shared" si="1"/>
        <v>0.66666666666666663</v>
      </c>
      <c r="V42" t="str">
        <f t="shared" si="2"/>
        <v>Good Performance</v>
      </c>
    </row>
    <row r="43" spans="1:22" x14ac:dyDescent="0.25">
      <c r="A43" t="s">
        <v>8</v>
      </c>
      <c r="B43" t="s">
        <v>19</v>
      </c>
      <c r="C43" t="s">
        <v>42</v>
      </c>
      <c r="D43" t="s">
        <v>45</v>
      </c>
      <c r="E43">
        <v>888</v>
      </c>
      <c r="F43">
        <v>250</v>
      </c>
      <c r="G43">
        <v>15</v>
      </c>
      <c r="H43">
        <v>13320</v>
      </c>
      <c r="I43">
        <v>0</v>
      </c>
      <c r="J43">
        <v>13320</v>
      </c>
      <c r="K43">
        <v>8880</v>
      </c>
      <c r="L43">
        <v>4440</v>
      </c>
      <c r="M43" s="4">
        <v>41791</v>
      </c>
      <c r="N43">
        <v>6</v>
      </c>
      <c r="O43" t="s">
        <v>26</v>
      </c>
      <c r="P43" t="s">
        <v>15</v>
      </c>
      <c r="Q43" s="9">
        <f t="shared" si="0"/>
        <v>0.33333333333333331</v>
      </c>
      <c r="R43" s="9">
        <f t="shared" si="1"/>
        <v>0.66666666666666663</v>
      </c>
      <c r="V43" t="str">
        <f t="shared" si="2"/>
        <v>Good Performance</v>
      </c>
    </row>
    <row r="44" spans="1:22" x14ac:dyDescent="0.25">
      <c r="A44" t="s">
        <v>10</v>
      </c>
      <c r="B44" t="s">
        <v>18</v>
      </c>
      <c r="C44" t="s">
        <v>42</v>
      </c>
      <c r="D44" t="s">
        <v>45</v>
      </c>
      <c r="E44">
        <v>1527</v>
      </c>
      <c r="F44">
        <v>250</v>
      </c>
      <c r="G44">
        <v>350</v>
      </c>
      <c r="H44">
        <v>534450</v>
      </c>
      <c r="I44">
        <v>0</v>
      </c>
      <c r="J44">
        <v>534450</v>
      </c>
      <c r="K44">
        <v>397020</v>
      </c>
      <c r="L44">
        <v>137430</v>
      </c>
      <c r="M44" s="4">
        <v>41518</v>
      </c>
      <c r="N44">
        <v>9</v>
      </c>
      <c r="O44" t="s">
        <v>29</v>
      </c>
      <c r="P44" t="s">
        <v>14</v>
      </c>
      <c r="Q44" s="9">
        <f t="shared" si="0"/>
        <v>0.25714285714285712</v>
      </c>
      <c r="R44" s="9">
        <f t="shared" si="1"/>
        <v>0.74285714285714288</v>
      </c>
      <c r="V44" t="str">
        <f t="shared" si="2"/>
        <v>Good Performance</v>
      </c>
    </row>
    <row r="45" spans="1:22" x14ac:dyDescent="0.25">
      <c r="A45" t="s">
        <v>7</v>
      </c>
      <c r="B45" t="s">
        <v>18</v>
      </c>
      <c r="C45" t="s">
        <v>42</v>
      </c>
      <c r="D45" t="s">
        <v>45</v>
      </c>
      <c r="E45">
        <v>2151</v>
      </c>
      <c r="F45">
        <v>250</v>
      </c>
      <c r="G45">
        <v>300</v>
      </c>
      <c r="H45">
        <v>645300</v>
      </c>
      <c r="I45">
        <v>0</v>
      </c>
      <c r="J45">
        <v>645300</v>
      </c>
      <c r="K45">
        <v>537750</v>
      </c>
      <c r="L45">
        <v>107550</v>
      </c>
      <c r="M45" s="4">
        <v>41883</v>
      </c>
      <c r="N45">
        <v>9</v>
      </c>
      <c r="O45" t="s">
        <v>29</v>
      </c>
      <c r="P45" t="s">
        <v>15</v>
      </c>
      <c r="Q45" s="9">
        <f t="shared" si="0"/>
        <v>0.16666666666666666</v>
      </c>
      <c r="R45" s="9">
        <f t="shared" si="1"/>
        <v>0.83333333333333337</v>
      </c>
      <c r="V45" t="str">
        <f t="shared" si="2"/>
        <v>Good Performance</v>
      </c>
    </row>
    <row r="46" spans="1:22" x14ac:dyDescent="0.25">
      <c r="A46" t="s">
        <v>10</v>
      </c>
      <c r="B46" t="s">
        <v>16</v>
      </c>
      <c r="C46" t="s">
        <v>42</v>
      </c>
      <c r="D46" t="s">
        <v>45</v>
      </c>
      <c r="E46">
        <v>1817</v>
      </c>
      <c r="F46">
        <v>250</v>
      </c>
      <c r="G46">
        <v>20</v>
      </c>
      <c r="H46">
        <v>36340</v>
      </c>
      <c r="I46">
        <v>0</v>
      </c>
      <c r="J46">
        <v>36340</v>
      </c>
      <c r="K46">
        <v>18170</v>
      </c>
      <c r="L46">
        <v>18170</v>
      </c>
      <c r="M46" s="4">
        <v>41974</v>
      </c>
      <c r="N46">
        <v>12</v>
      </c>
      <c r="O46" t="s">
        <v>32</v>
      </c>
      <c r="P46" t="s">
        <v>15</v>
      </c>
      <c r="Q46" s="9">
        <f t="shared" si="0"/>
        <v>0.5</v>
      </c>
      <c r="R46" s="9">
        <f t="shared" si="1"/>
        <v>0.5</v>
      </c>
      <c r="V46" t="str">
        <f t="shared" si="2"/>
        <v>Good Performance</v>
      </c>
    </row>
    <row r="47" spans="1:22" x14ac:dyDescent="0.25">
      <c r="A47" t="s">
        <v>10</v>
      </c>
      <c r="B47" t="s">
        <v>18</v>
      </c>
      <c r="C47" t="s">
        <v>43</v>
      </c>
      <c r="D47" t="s">
        <v>45</v>
      </c>
      <c r="E47">
        <v>2750</v>
      </c>
      <c r="F47">
        <v>260</v>
      </c>
      <c r="G47">
        <v>350</v>
      </c>
      <c r="H47">
        <v>962500</v>
      </c>
      <c r="I47">
        <v>0</v>
      </c>
      <c r="J47">
        <v>962500</v>
      </c>
      <c r="K47">
        <v>715000</v>
      </c>
      <c r="L47">
        <v>247500</v>
      </c>
      <c r="M47" s="4">
        <v>41671</v>
      </c>
      <c r="N47">
        <v>2</v>
      </c>
      <c r="O47" t="s">
        <v>22</v>
      </c>
      <c r="P47" t="s">
        <v>15</v>
      </c>
      <c r="Q47" s="9">
        <f t="shared" si="0"/>
        <v>0.25714285714285712</v>
      </c>
      <c r="R47" s="9">
        <f t="shared" si="1"/>
        <v>0.74285714285714288</v>
      </c>
      <c r="V47" t="str">
        <f t="shared" si="2"/>
        <v>Good Performance</v>
      </c>
    </row>
    <row r="48" spans="1:22" x14ac:dyDescent="0.25">
      <c r="A48" t="s">
        <v>11</v>
      </c>
      <c r="B48" t="s">
        <v>17</v>
      </c>
      <c r="C48" t="s">
        <v>43</v>
      </c>
      <c r="D48" t="s">
        <v>45</v>
      </c>
      <c r="E48">
        <v>1953</v>
      </c>
      <c r="F48">
        <v>260</v>
      </c>
      <c r="G48">
        <v>12</v>
      </c>
      <c r="H48">
        <v>23436</v>
      </c>
      <c r="I48">
        <v>0</v>
      </c>
      <c r="J48">
        <v>23436</v>
      </c>
      <c r="K48">
        <v>5859</v>
      </c>
      <c r="L48">
        <v>17577</v>
      </c>
      <c r="M48" s="4">
        <v>41730</v>
      </c>
      <c r="N48">
        <v>4</v>
      </c>
      <c r="O48" t="s">
        <v>24</v>
      </c>
      <c r="P48" t="s">
        <v>15</v>
      </c>
      <c r="Q48" s="9">
        <f t="shared" si="0"/>
        <v>0.75</v>
      </c>
      <c r="R48" s="9">
        <f t="shared" si="1"/>
        <v>0.25</v>
      </c>
      <c r="V48" t="str">
        <f t="shared" si="2"/>
        <v>Good Performance</v>
      </c>
    </row>
    <row r="49" spans="1:22" x14ac:dyDescent="0.25">
      <c r="A49" t="s">
        <v>11</v>
      </c>
      <c r="B49" t="s">
        <v>17</v>
      </c>
      <c r="C49" t="s">
        <v>43</v>
      </c>
      <c r="D49" t="s">
        <v>45</v>
      </c>
      <c r="E49">
        <v>1953</v>
      </c>
      <c r="F49">
        <v>260</v>
      </c>
      <c r="G49">
        <v>12</v>
      </c>
      <c r="H49">
        <v>23436</v>
      </c>
      <c r="I49">
        <v>0</v>
      </c>
      <c r="J49">
        <v>23436</v>
      </c>
      <c r="K49">
        <v>5859</v>
      </c>
      <c r="L49">
        <v>17577</v>
      </c>
      <c r="M49" s="4">
        <v>41730</v>
      </c>
      <c r="N49">
        <v>4</v>
      </c>
      <c r="O49" t="s">
        <v>24</v>
      </c>
      <c r="P49" t="s">
        <v>15</v>
      </c>
      <c r="Q49" s="9">
        <f t="shared" si="0"/>
        <v>0.75</v>
      </c>
      <c r="R49" s="9">
        <f t="shared" si="1"/>
        <v>0.25</v>
      </c>
      <c r="V49" t="str">
        <f t="shared" si="2"/>
        <v>Good Performance</v>
      </c>
    </row>
    <row r="50" spans="1:22" x14ac:dyDescent="0.25">
      <c r="A50" t="s">
        <v>9</v>
      </c>
      <c r="B50" t="s">
        <v>19</v>
      </c>
      <c r="C50" t="s">
        <v>43</v>
      </c>
      <c r="D50" t="s">
        <v>45</v>
      </c>
      <c r="E50">
        <v>4219.5</v>
      </c>
      <c r="F50">
        <v>260</v>
      </c>
      <c r="G50">
        <v>125</v>
      </c>
      <c r="H50">
        <v>527437.5</v>
      </c>
      <c r="I50">
        <v>0</v>
      </c>
      <c r="J50">
        <v>527437.5</v>
      </c>
      <c r="K50">
        <v>506340</v>
      </c>
      <c r="L50">
        <v>21097.5</v>
      </c>
      <c r="M50" s="4">
        <v>41730</v>
      </c>
      <c r="N50">
        <v>4</v>
      </c>
      <c r="O50" t="s">
        <v>24</v>
      </c>
      <c r="P50" t="s">
        <v>15</v>
      </c>
      <c r="Q50" s="9">
        <f t="shared" si="0"/>
        <v>0.04</v>
      </c>
      <c r="R50" s="9">
        <f t="shared" si="1"/>
        <v>0.96</v>
      </c>
      <c r="V50" t="str">
        <f t="shared" si="2"/>
        <v>Under Review</v>
      </c>
    </row>
    <row r="51" spans="1:22" x14ac:dyDescent="0.25">
      <c r="A51" t="s">
        <v>10</v>
      </c>
      <c r="B51" t="s">
        <v>18</v>
      </c>
      <c r="C51" t="s">
        <v>43</v>
      </c>
      <c r="D51" t="s">
        <v>45</v>
      </c>
      <c r="E51">
        <v>1899</v>
      </c>
      <c r="F51">
        <v>260</v>
      </c>
      <c r="G51">
        <v>20</v>
      </c>
      <c r="H51">
        <v>37980</v>
      </c>
      <c r="I51">
        <v>0</v>
      </c>
      <c r="J51">
        <v>37980</v>
      </c>
      <c r="K51">
        <v>18990</v>
      </c>
      <c r="L51">
        <v>18990</v>
      </c>
      <c r="M51" s="4">
        <v>41791</v>
      </c>
      <c r="N51">
        <v>6</v>
      </c>
      <c r="O51" t="s">
        <v>26</v>
      </c>
      <c r="P51" t="s">
        <v>15</v>
      </c>
      <c r="Q51" s="9">
        <f t="shared" si="0"/>
        <v>0.5</v>
      </c>
      <c r="R51" s="9">
        <f t="shared" si="1"/>
        <v>0.5</v>
      </c>
      <c r="V51" t="str">
        <f t="shared" si="2"/>
        <v>Good Performance</v>
      </c>
    </row>
    <row r="52" spans="1:22" x14ac:dyDescent="0.25">
      <c r="A52" t="s">
        <v>10</v>
      </c>
      <c r="B52" t="s">
        <v>19</v>
      </c>
      <c r="C52" t="s">
        <v>43</v>
      </c>
      <c r="D52" t="s">
        <v>45</v>
      </c>
      <c r="E52">
        <v>1686</v>
      </c>
      <c r="F52">
        <v>260</v>
      </c>
      <c r="G52">
        <v>7</v>
      </c>
      <c r="H52">
        <v>11802</v>
      </c>
      <c r="I52">
        <v>0</v>
      </c>
      <c r="J52">
        <v>11802</v>
      </c>
      <c r="K52">
        <v>8430</v>
      </c>
      <c r="L52">
        <v>3372</v>
      </c>
      <c r="M52" s="4">
        <v>41821</v>
      </c>
      <c r="N52">
        <v>7</v>
      </c>
      <c r="O52" t="s">
        <v>27</v>
      </c>
      <c r="P52" t="s">
        <v>15</v>
      </c>
      <c r="Q52" s="9">
        <f t="shared" si="0"/>
        <v>0.2857142857142857</v>
      </c>
      <c r="R52" s="9">
        <f t="shared" si="1"/>
        <v>0.7142857142857143</v>
      </c>
      <c r="V52" t="str">
        <f t="shared" si="2"/>
        <v>Good Performance</v>
      </c>
    </row>
    <row r="53" spans="1:22" x14ac:dyDescent="0.25">
      <c r="A53" t="s">
        <v>11</v>
      </c>
      <c r="B53" t="s">
        <v>17</v>
      </c>
      <c r="C53" t="s">
        <v>43</v>
      </c>
      <c r="D53" t="s">
        <v>45</v>
      </c>
      <c r="E53">
        <v>2141</v>
      </c>
      <c r="F53">
        <v>260</v>
      </c>
      <c r="G53">
        <v>12</v>
      </c>
      <c r="H53">
        <v>25692</v>
      </c>
      <c r="I53">
        <v>0</v>
      </c>
      <c r="J53">
        <v>25692</v>
      </c>
      <c r="K53">
        <v>6423</v>
      </c>
      <c r="L53">
        <v>19269</v>
      </c>
      <c r="M53" s="4">
        <v>41852</v>
      </c>
      <c r="N53">
        <v>8</v>
      </c>
      <c r="O53" t="s">
        <v>28</v>
      </c>
      <c r="P53" t="s">
        <v>15</v>
      </c>
      <c r="Q53" s="9">
        <f t="shared" si="0"/>
        <v>0.75</v>
      </c>
      <c r="R53" s="9">
        <f t="shared" si="1"/>
        <v>0.25</v>
      </c>
      <c r="V53" t="str">
        <f t="shared" si="2"/>
        <v>Good Performance</v>
      </c>
    </row>
    <row r="54" spans="1:22" x14ac:dyDescent="0.25">
      <c r="A54" t="s">
        <v>10</v>
      </c>
      <c r="B54" t="s">
        <v>17</v>
      </c>
      <c r="C54" t="s">
        <v>43</v>
      </c>
      <c r="D54" t="s">
        <v>45</v>
      </c>
      <c r="E54">
        <v>1143</v>
      </c>
      <c r="F54">
        <v>260</v>
      </c>
      <c r="G54">
        <v>7</v>
      </c>
      <c r="H54">
        <v>8001</v>
      </c>
      <c r="I54">
        <v>0</v>
      </c>
      <c r="J54">
        <v>8001</v>
      </c>
      <c r="K54">
        <v>5715</v>
      </c>
      <c r="L54">
        <v>2286</v>
      </c>
      <c r="M54" s="4">
        <v>41913</v>
      </c>
      <c r="N54">
        <v>10</v>
      </c>
      <c r="O54" t="s">
        <v>30</v>
      </c>
      <c r="P54" t="s">
        <v>15</v>
      </c>
      <c r="Q54" s="9">
        <f t="shared" si="0"/>
        <v>0.2857142857142857</v>
      </c>
      <c r="R54" s="9">
        <f t="shared" si="1"/>
        <v>0.7142857142857143</v>
      </c>
      <c r="V54" t="str">
        <f t="shared" si="2"/>
        <v>Good Performance</v>
      </c>
    </row>
    <row r="55" spans="1:22" x14ac:dyDescent="0.25">
      <c r="A55" t="s">
        <v>8</v>
      </c>
      <c r="B55" t="s">
        <v>17</v>
      </c>
      <c r="C55" t="s">
        <v>43</v>
      </c>
      <c r="D55" t="s">
        <v>45</v>
      </c>
      <c r="E55">
        <v>615</v>
      </c>
      <c r="F55">
        <v>260</v>
      </c>
      <c r="G55">
        <v>15</v>
      </c>
      <c r="H55">
        <v>9225</v>
      </c>
      <c r="I55">
        <v>0</v>
      </c>
      <c r="J55">
        <v>9225</v>
      </c>
      <c r="K55">
        <v>6150</v>
      </c>
      <c r="L55">
        <v>3075</v>
      </c>
      <c r="M55" s="4">
        <v>41974</v>
      </c>
      <c r="N55">
        <v>12</v>
      </c>
      <c r="O55" t="s">
        <v>32</v>
      </c>
      <c r="P55" t="s">
        <v>15</v>
      </c>
      <c r="Q55" s="9">
        <f t="shared" si="0"/>
        <v>0.33333333333333331</v>
      </c>
      <c r="R55" s="9">
        <f t="shared" si="1"/>
        <v>0.66666666666666663</v>
      </c>
      <c r="V55" t="str">
        <f t="shared" si="2"/>
        <v>Good Performance</v>
      </c>
    </row>
    <row r="56" spans="1:22" x14ac:dyDescent="0.25">
      <c r="A56" t="s">
        <v>8</v>
      </c>
      <c r="B56" t="s">
        <v>17</v>
      </c>
      <c r="C56" t="s">
        <v>43</v>
      </c>
      <c r="D56" t="s">
        <v>45</v>
      </c>
      <c r="E56">
        <v>615</v>
      </c>
      <c r="F56">
        <v>260</v>
      </c>
      <c r="G56">
        <v>15</v>
      </c>
      <c r="H56">
        <v>9225</v>
      </c>
      <c r="I56">
        <v>0</v>
      </c>
      <c r="J56">
        <v>9225</v>
      </c>
      <c r="K56">
        <v>6150</v>
      </c>
      <c r="L56">
        <v>3075</v>
      </c>
      <c r="M56" s="4">
        <v>41974</v>
      </c>
      <c r="N56">
        <v>12</v>
      </c>
      <c r="O56" t="s">
        <v>32</v>
      </c>
      <c r="P56" t="s">
        <v>15</v>
      </c>
      <c r="Q56" s="9">
        <f t="shared" si="0"/>
        <v>0.33333333333333331</v>
      </c>
      <c r="R56" s="9">
        <f t="shared" si="1"/>
        <v>0.66666666666666663</v>
      </c>
      <c r="V56" t="str">
        <f t="shared" si="2"/>
        <v>Good Performance</v>
      </c>
    </row>
    <row r="57" spans="1:22" x14ac:dyDescent="0.25">
      <c r="A57" t="s">
        <v>10</v>
      </c>
      <c r="B57" t="s">
        <v>18</v>
      </c>
      <c r="C57" t="s">
        <v>40</v>
      </c>
      <c r="D57" t="s">
        <v>46</v>
      </c>
      <c r="E57">
        <v>3945</v>
      </c>
      <c r="F57">
        <v>10</v>
      </c>
      <c r="G57">
        <v>7</v>
      </c>
      <c r="H57">
        <v>27615</v>
      </c>
      <c r="I57">
        <v>276.14999999999998</v>
      </c>
      <c r="J57">
        <v>27338.850000000002</v>
      </c>
      <c r="K57">
        <v>19725</v>
      </c>
      <c r="L57">
        <v>7613.8500000000022</v>
      </c>
      <c r="M57" s="4">
        <v>41640</v>
      </c>
      <c r="N57">
        <v>1</v>
      </c>
      <c r="O57" t="s">
        <v>21</v>
      </c>
      <c r="P57" t="s">
        <v>15</v>
      </c>
      <c r="Q57" s="9">
        <f t="shared" si="0"/>
        <v>0.27849927849927858</v>
      </c>
      <c r="R57" s="9">
        <f t="shared" si="1"/>
        <v>0.72150072150072142</v>
      </c>
      <c r="V57" t="str">
        <f t="shared" si="2"/>
        <v>Good Performance</v>
      </c>
    </row>
    <row r="58" spans="1:22" x14ac:dyDescent="0.25">
      <c r="A58" t="s">
        <v>8</v>
      </c>
      <c r="B58" t="s">
        <v>18</v>
      </c>
      <c r="C58" t="s">
        <v>40</v>
      </c>
      <c r="D58" t="s">
        <v>46</v>
      </c>
      <c r="E58">
        <v>2296</v>
      </c>
      <c r="F58">
        <v>10</v>
      </c>
      <c r="G58">
        <v>15</v>
      </c>
      <c r="H58">
        <v>34440</v>
      </c>
      <c r="I58">
        <v>344.4</v>
      </c>
      <c r="J58">
        <v>34095.599999999999</v>
      </c>
      <c r="K58">
        <v>22960</v>
      </c>
      <c r="L58">
        <v>11135.599999999999</v>
      </c>
      <c r="M58" s="4">
        <v>41671</v>
      </c>
      <c r="N58">
        <v>2</v>
      </c>
      <c r="O58" t="s">
        <v>22</v>
      </c>
      <c r="P58" t="s">
        <v>15</v>
      </c>
      <c r="Q58" s="9">
        <f t="shared" si="0"/>
        <v>0.32659932659932656</v>
      </c>
      <c r="R58" s="9">
        <f t="shared" si="1"/>
        <v>0.67340067340067344</v>
      </c>
      <c r="V58" t="str">
        <f t="shared" si="2"/>
        <v>Good Performance</v>
      </c>
    </row>
    <row r="59" spans="1:22" x14ac:dyDescent="0.25">
      <c r="A59" t="s">
        <v>10</v>
      </c>
      <c r="B59" t="s">
        <v>18</v>
      </c>
      <c r="C59" t="s">
        <v>40</v>
      </c>
      <c r="D59" t="s">
        <v>46</v>
      </c>
      <c r="E59">
        <v>1030</v>
      </c>
      <c r="F59">
        <v>10</v>
      </c>
      <c r="G59">
        <v>7</v>
      </c>
      <c r="H59">
        <v>7210</v>
      </c>
      <c r="I59">
        <v>72.099999999999994</v>
      </c>
      <c r="J59">
        <v>7137.9</v>
      </c>
      <c r="K59">
        <v>5150</v>
      </c>
      <c r="L59">
        <v>1987.8999999999996</v>
      </c>
      <c r="M59" s="4">
        <v>41760</v>
      </c>
      <c r="N59">
        <v>5</v>
      </c>
      <c r="O59" t="s">
        <v>25</v>
      </c>
      <c r="P59" t="s">
        <v>15</v>
      </c>
      <c r="Q59" s="9">
        <f t="shared" si="0"/>
        <v>0.27849927849927847</v>
      </c>
      <c r="R59" s="9">
        <f t="shared" si="1"/>
        <v>0.72150072150072153</v>
      </c>
      <c r="V59" t="str">
        <f t="shared" si="2"/>
        <v>Good Performance</v>
      </c>
    </row>
    <row r="60" spans="1:22" x14ac:dyDescent="0.25">
      <c r="A60" t="s">
        <v>10</v>
      </c>
      <c r="B60" t="s">
        <v>18</v>
      </c>
      <c r="C60" t="s">
        <v>41</v>
      </c>
      <c r="D60" t="s">
        <v>46</v>
      </c>
      <c r="E60">
        <v>639</v>
      </c>
      <c r="F60">
        <v>120</v>
      </c>
      <c r="G60">
        <v>7</v>
      </c>
      <c r="H60">
        <v>4473</v>
      </c>
      <c r="I60">
        <v>44.73</v>
      </c>
      <c r="J60">
        <v>4428.2700000000004</v>
      </c>
      <c r="K60">
        <v>3195</v>
      </c>
      <c r="L60">
        <v>1233.2700000000004</v>
      </c>
      <c r="M60" s="4">
        <v>41944</v>
      </c>
      <c r="N60">
        <v>11</v>
      </c>
      <c r="O60" t="s">
        <v>31</v>
      </c>
      <c r="P60" t="s">
        <v>15</v>
      </c>
      <c r="Q60" s="9">
        <f t="shared" si="0"/>
        <v>0.27849927849927858</v>
      </c>
      <c r="R60" s="9">
        <f t="shared" si="1"/>
        <v>0.72150072150072142</v>
      </c>
      <c r="V60" t="str">
        <f t="shared" si="2"/>
        <v>Good Performance</v>
      </c>
    </row>
    <row r="61" spans="1:22" x14ac:dyDescent="0.25">
      <c r="A61" t="s">
        <v>10</v>
      </c>
      <c r="B61" t="s">
        <v>16</v>
      </c>
      <c r="C61" t="s">
        <v>42</v>
      </c>
      <c r="D61" t="s">
        <v>46</v>
      </c>
      <c r="E61">
        <v>1326</v>
      </c>
      <c r="F61">
        <v>250</v>
      </c>
      <c r="G61">
        <v>7</v>
      </c>
      <c r="H61">
        <v>9282</v>
      </c>
      <c r="I61">
        <v>92.82</v>
      </c>
      <c r="J61">
        <v>9189.18</v>
      </c>
      <c r="K61">
        <v>6630</v>
      </c>
      <c r="L61">
        <v>2559.1800000000003</v>
      </c>
      <c r="M61" s="4">
        <v>41699</v>
      </c>
      <c r="N61">
        <v>3</v>
      </c>
      <c r="O61" t="s">
        <v>23</v>
      </c>
      <c r="P61" t="s">
        <v>15</v>
      </c>
      <c r="Q61" s="9">
        <f t="shared" si="0"/>
        <v>0.27849927849927852</v>
      </c>
      <c r="R61" s="9">
        <f t="shared" si="1"/>
        <v>0.72150072150072153</v>
      </c>
      <c r="V61" t="str">
        <f t="shared" si="2"/>
        <v>Good Performance</v>
      </c>
    </row>
    <row r="62" spans="1:22" x14ac:dyDescent="0.25">
      <c r="A62" t="s">
        <v>11</v>
      </c>
      <c r="B62" t="s">
        <v>17</v>
      </c>
      <c r="C62" t="s">
        <v>38</v>
      </c>
      <c r="D62" t="s">
        <v>46</v>
      </c>
      <c r="E62">
        <v>1858</v>
      </c>
      <c r="F62">
        <v>3</v>
      </c>
      <c r="G62">
        <v>12</v>
      </c>
      <c r="H62">
        <v>22296</v>
      </c>
      <c r="I62">
        <v>222.96</v>
      </c>
      <c r="J62">
        <v>22073.040000000001</v>
      </c>
      <c r="K62">
        <v>5574</v>
      </c>
      <c r="L62">
        <v>16499.04</v>
      </c>
      <c r="M62" s="4">
        <v>41671</v>
      </c>
      <c r="N62">
        <v>2</v>
      </c>
      <c r="O62" t="s">
        <v>22</v>
      </c>
      <c r="P62" t="s">
        <v>15</v>
      </c>
      <c r="Q62" s="9">
        <f t="shared" si="0"/>
        <v>0.74747474747474751</v>
      </c>
      <c r="R62" s="9">
        <f t="shared" si="1"/>
        <v>0.25252525252525254</v>
      </c>
      <c r="V62" t="str">
        <f t="shared" si="2"/>
        <v>Good Performance</v>
      </c>
    </row>
    <row r="63" spans="1:22" x14ac:dyDescent="0.25">
      <c r="A63" t="s">
        <v>10</v>
      </c>
      <c r="B63" t="s">
        <v>20</v>
      </c>
      <c r="C63" t="s">
        <v>38</v>
      </c>
      <c r="D63" t="s">
        <v>46</v>
      </c>
      <c r="E63">
        <v>1210</v>
      </c>
      <c r="F63">
        <v>3</v>
      </c>
      <c r="G63">
        <v>350</v>
      </c>
      <c r="H63">
        <v>423500</v>
      </c>
      <c r="I63">
        <v>4235</v>
      </c>
      <c r="J63">
        <v>419265</v>
      </c>
      <c r="K63">
        <v>314600</v>
      </c>
      <c r="L63">
        <v>104665</v>
      </c>
      <c r="M63" s="4">
        <v>41699</v>
      </c>
      <c r="N63">
        <v>3</v>
      </c>
      <c r="O63" t="s">
        <v>23</v>
      </c>
      <c r="P63" t="s">
        <v>15</v>
      </c>
      <c r="Q63" s="9">
        <f t="shared" si="0"/>
        <v>0.24963924963924963</v>
      </c>
      <c r="R63" s="9">
        <f t="shared" si="1"/>
        <v>0.75036075036075034</v>
      </c>
      <c r="V63" t="str">
        <f t="shared" si="2"/>
        <v>Good Performance</v>
      </c>
    </row>
    <row r="64" spans="1:22" x14ac:dyDescent="0.25">
      <c r="A64" t="s">
        <v>10</v>
      </c>
      <c r="B64" t="s">
        <v>20</v>
      </c>
      <c r="C64" t="s">
        <v>38</v>
      </c>
      <c r="D64" t="s">
        <v>46</v>
      </c>
      <c r="E64">
        <v>1210</v>
      </c>
      <c r="F64">
        <v>3</v>
      </c>
      <c r="G64">
        <v>350</v>
      </c>
      <c r="H64">
        <v>423500</v>
      </c>
      <c r="I64">
        <v>4235</v>
      </c>
      <c r="J64">
        <v>419265</v>
      </c>
      <c r="K64">
        <v>314600</v>
      </c>
      <c r="L64">
        <v>104665</v>
      </c>
      <c r="M64" s="4">
        <v>41699</v>
      </c>
      <c r="N64">
        <v>3</v>
      </c>
      <c r="O64" t="s">
        <v>23</v>
      </c>
      <c r="P64" t="s">
        <v>15</v>
      </c>
      <c r="Q64" s="9">
        <f t="shared" si="0"/>
        <v>0.24963924963924963</v>
      </c>
      <c r="R64" s="9">
        <f t="shared" si="1"/>
        <v>0.75036075036075034</v>
      </c>
      <c r="V64" t="str">
        <f t="shared" si="2"/>
        <v>Good Performance</v>
      </c>
    </row>
    <row r="65" spans="1:22" x14ac:dyDescent="0.25">
      <c r="A65" t="s">
        <v>10</v>
      </c>
      <c r="B65" t="s">
        <v>17</v>
      </c>
      <c r="C65" t="s">
        <v>38</v>
      </c>
      <c r="D65" t="s">
        <v>46</v>
      </c>
      <c r="E65">
        <v>2529</v>
      </c>
      <c r="F65">
        <v>3</v>
      </c>
      <c r="G65">
        <v>7</v>
      </c>
      <c r="H65">
        <v>17703</v>
      </c>
      <c r="I65">
        <v>177.03</v>
      </c>
      <c r="J65">
        <v>17525.97</v>
      </c>
      <c r="K65">
        <v>12645</v>
      </c>
      <c r="L65">
        <v>4880.9699999999993</v>
      </c>
      <c r="M65" s="4">
        <v>41821</v>
      </c>
      <c r="N65">
        <v>7</v>
      </c>
      <c r="O65" t="s">
        <v>27</v>
      </c>
      <c r="P65" t="s">
        <v>15</v>
      </c>
      <c r="Q65" s="9">
        <f t="shared" si="0"/>
        <v>0.27849927849927847</v>
      </c>
      <c r="R65" s="9">
        <f t="shared" si="1"/>
        <v>0.72150072150072142</v>
      </c>
      <c r="V65" t="str">
        <f t="shared" si="2"/>
        <v>Good Performance</v>
      </c>
    </row>
    <row r="66" spans="1:22" x14ac:dyDescent="0.25">
      <c r="A66" t="s">
        <v>11</v>
      </c>
      <c r="B66" t="s">
        <v>16</v>
      </c>
      <c r="C66" t="s">
        <v>38</v>
      </c>
      <c r="D66" t="s">
        <v>46</v>
      </c>
      <c r="E66">
        <v>1445</v>
      </c>
      <c r="F66">
        <v>3</v>
      </c>
      <c r="G66">
        <v>12</v>
      </c>
      <c r="H66">
        <v>17340</v>
      </c>
      <c r="I66">
        <v>173.4</v>
      </c>
      <c r="J66">
        <v>17166.599999999999</v>
      </c>
      <c r="K66">
        <v>4335</v>
      </c>
      <c r="L66">
        <v>12831.599999999999</v>
      </c>
      <c r="M66" s="4">
        <v>41883</v>
      </c>
      <c r="N66">
        <v>9</v>
      </c>
      <c r="O66" t="s">
        <v>29</v>
      </c>
      <c r="P66" t="s">
        <v>15</v>
      </c>
      <c r="Q66" s="9">
        <f t="shared" si="0"/>
        <v>0.7474747474747474</v>
      </c>
      <c r="R66" s="9">
        <f t="shared" si="1"/>
        <v>0.25252525252525254</v>
      </c>
      <c r="V66" t="str">
        <f t="shared" si="2"/>
        <v>Good Performance</v>
      </c>
    </row>
    <row r="67" spans="1:22" x14ac:dyDescent="0.25">
      <c r="A67" t="s">
        <v>9</v>
      </c>
      <c r="B67" t="s">
        <v>17</v>
      </c>
      <c r="C67" t="s">
        <v>38</v>
      </c>
      <c r="D67" t="s">
        <v>46</v>
      </c>
      <c r="E67">
        <v>330</v>
      </c>
      <c r="F67">
        <v>3</v>
      </c>
      <c r="G67">
        <v>125</v>
      </c>
      <c r="H67">
        <v>41250</v>
      </c>
      <c r="I67">
        <v>412.5</v>
      </c>
      <c r="J67">
        <v>40837.5</v>
      </c>
      <c r="K67">
        <v>39600</v>
      </c>
      <c r="L67">
        <v>1237.5</v>
      </c>
      <c r="M67" s="4">
        <v>41518</v>
      </c>
      <c r="N67">
        <v>9</v>
      </c>
      <c r="O67" t="s">
        <v>29</v>
      </c>
      <c r="P67" t="s">
        <v>14</v>
      </c>
      <c r="Q67" s="9">
        <f t="shared" ref="Q67:Q130" si="3">L67/J67</f>
        <v>3.0303030303030304E-2</v>
      </c>
      <c r="R67" s="9">
        <f t="shared" ref="R67:R130" si="4">K67/J67</f>
        <v>0.96969696969696972</v>
      </c>
      <c r="V67" t="str">
        <f t="shared" ref="V67:V130" si="5">IF(Q67&lt;0.1, "Under Review", "Good Performance")</f>
        <v>Under Review</v>
      </c>
    </row>
    <row r="68" spans="1:22" x14ac:dyDescent="0.25">
      <c r="A68" t="s">
        <v>11</v>
      </c>
      <c r="B68" t="s">
        <v>18</v>
      </c>
      <c r="C68" t="s">
        <v>38</v>
      </c>
      <c r="D68" t="s">
        <v>46</v>
      </c>
      <c r="E68">
        <v>2671</v>
      </c>
      <c r="F68">
        <v>3</v>
      </c>
      <c r="G68">
        <v>12</v>
      </c>
      <c r="H68">
        <v>32052</v>
      </c>
      <c r="I68">
        <v>320.52</v>
      </c>
      <c r="J68">
        <v>31731.48</v>
      </c>
      <c r="K68">
        <v>8013</v>
      </c>
      <c r="L68">
        <v>23718.48</v>
      </c>
      <c r="M68" s="4">
        <v>41883</v>
      </c>
      <c r="N68">
        <v>9</v>
      </c>
      <c r="O68" t="s">
        <v>29</v>
      </c>
      <c r="P68" t="s">
        <v>15</v>
      </c>
      <c r="Q68" s="9">
        <f t="shared" si="3"/>
        <v>0.74747474747474751</v>
      </c>
      <c r="R68" s="9">
        <f t="shared" si="4"/>
        <v>0.25252525252525254</v>
      </c>
      <c r="V68" t="str">
        <f t="shared" si="5"/>
        <v>Good Performance</v>
      </c>
    </row>
    <row r="69" spans="1:22" x14ac:dyDescent="0.25">
      <c r="A69" t="s">
        <v>11</v>
      </c>
      <c r="B69" t="s">
        <v>19</v>
      </c>
      <c r="C69" t="s">
        <v>38</v>
      </c>
      <c r="D69" t="s">
        <v>46</v>
      </c>
      <c r="E69">
        <v>766</v>
      </c>
      <c r="F69">
        <v>3</v>
      </c>
      <c r="G69">
        <v>12</v>
      </c>
      <c r="H69">
        <v>9192</v>
      </c>
      <c r="I69">
        <v>91.92</v>
      </c>
      <c r="J69">
        <v>9100.08</v>
      </c>
      <c r="K69">
        <v>2298</v>
      </c>
      <c r="L69">
        <v>6802.08</v>
      </c>
      <c r="M69" s="4">
        <v>41548</v>
      </c>
      <c r="N69">
        <v>10</v>
      </c>
      <c r="O69" t="s">
        <v>30</v>
      </c>
      <c r="P69" t="s">
        <v>14</v>
      </c>
      <c r="Q69" s="9">
        <f t="shared" si="3"/>
        <v>0.74747474747474751</v>
      </c>
      <c r="R69" s="9">
        <f t="shared" si="4"/>
        <v>0.25252525252525254</v>
      </c>
      <c r="V69" t="str">
        <f t="shared" si="5"/>
        <v>Good Performance</v>
      </c>
    </row>
    <row r="70" spans="1:22" x14ac:dyDescent="0.25">
      <c r="A70" t="s">
        <v>7</v>
      </c>
      <c r="B70" t="s">
        <v>20</v>
      </c>
      <c r="C70" t="s">
        <v>38</v>
      </c>
      <c r="D70" t="s">
        <v>46</v>
      </c>
      <c r="E70">
        <v>494</v>
      </c>
      <c r="F70">
        <v>3</v>
      </c>
      <c r="G70">
        <v>300</v>
      </c>
      <c r="H70">
        <v>148200</v>
      </c>
      <c r="I70">
        <v>1482</v>
      </c>
      <c r="J70">
        <v>146718</v>
      </c>
      <c r="K70">
        <v>123500</v>
      </c>
      <c r="L70">
        <v>23218</v>
      </c>
      <c r="M70" s="4">
        <v>41548</v>
      </c>
      <c r="N70">
        <v>10</v>
      </c>
      <c r="O70" t="s">
        <v>30</v>
      </c>
      <c r="P70" t="s">
        <v>14</v>
      </c>
      <c r="Q70" s="9">
        <f t="shared" si="3"/>
        <v>0.15824915824915825</v>
      </c>
      <c r="R70" s="9">
        <f t="shared" si="4"/>
        <v>0.84175084175084181</v>
      </c>
      <c r="V70" t="str">
        <f t="shared" si="5"/>
        <v>Good Performance</v>
      </c>
    </row>
    <row r="71" spans="1:22" x14ac:dyDescent="0.25">
      <c r="A71" t="s">
        <v>10</v>
      </c>
      <c r="B71" t="s">
        <v>20</v>
      </c>
      <c r="C71" t="s">
        <v>38</v>
      </c>
      <c r="D71" t="s">
        <v>46</v>
      </c>
      <c r="E71">
        <v>1397</v>
      </c>
      <c r="F71">
        <v>3</v>
      </c>
      <c r="G71">
        <v>350</v>
      </c>
      <c r="H71">
        <v>488950</v>
      </c>
      <c r="I71">
        <v>4889.5</v>
      </c>
      <c r="J71">
        <v>484060.5</v>
      </c>
      <c r="K71">
        <v>363220</v>
      </c>
      <c r="L71">
        <v>120840.5</v>
      </c>
      <c r="M71" s="4">
        <v>41913</v>
      </c>
      <c r="N71">
        <v>10</v>
      </c>
      <c r="O71" t="s">
        <v>30</v>
      </c>
      <c r="P71" t="s">
        <v>15</v>
      </c>
      <c r="Q71" s="9">
        <f t="shared" si="3"/>
        <v>0.24963924963924963</v>
      </c>
      <c r="R71" s="9">
        <f t="shared" si="4"/>
        <v>0.75036075036075034</v>
      </c>
      <c r="V71" t="str">
        <f t="shared" si="5"/>
        <v>Good Performance</v>
      </c>
    </row>
    <row r="72" spans="1:22" x14ac:dyDescent="0.25">
      <c r="A72" t="s">
        <v>10</v>
      </c>
      <c r="B72" t="s">
        <v>18</v>
      </c>
      <c r="C72" t="s">
        <v>38</v>
      </c>
      <c r="D72" t="s">
        <v>46</v>
      </c>
      <c r="E72">
        <v>2155</v>
      </c>
      <c r="F72">
        <v>3</v>
      </c>
      <c r="G72">
        <v>350</v>
      </c>
      <c r="H72">
        <v>754250</v>
      </c>
      <c r="I72">
        <v>7542.5</v>
      </c>
      <c r="J72">
        <v>746707.5</v>
      </c>
      <c r="K72">
        <v>560300</v>
      </c>
      <c r="L72">
        <v>186407.5</v>
      </c>
      <c r="M72" s="4">
        <v>41974</v>
      </c>
      <c r="N72">
        <v>12</v>
      </c>
      <c r="O72" t="s">
        <v>32</v>
      </c>
      <c r="P72" t="s">
        <v>15</v>
      </c>
      <c r="Q72" s="9">
        <f t="shared" si="3"/>
        <v>0.24963924963924963</v>
      </c>
      <c r="R72" s="9">
        <f t="shared" si="4"/>
        <v>0.75036075036075034</v>
      </c>
      <c r="V72" t="str">
        <f t="shared" si="5"/>
        <v>Good Performance</v>
      </c>
    </row>
    <row r="73" spans="1:22" x14ac:dyDescent="0.25">
      <c r="A73" t="s">
        <v>8</v>
      </c>
      <c r="B73" t="s">
        <v>20</v>
      </c>
      <c r="C73" t="s">
        <v>39</v>
      </c>
      <c r="D73" t="s">
        <v>46</v>
      </c>
      <c r="E73">
        <v>2214</v>
      </c>
      <c r="F73">
        <v>5</v>
      </c>
      <c r="G73">
        <v>15</v>
      </c>
      <c r="H73">
        <v>33210</v>
      </c>
      <c r="I73">
        <v>332.1</v>
      </c>
      <c r="J73">
        <v>32877.9</v>
      </c>
      <c r="K73">
        <v>22140</v>
      </c>
      <c r="L73">
        <v>10737.900000000001</v>
      </c>
      <c r="M73" s="4">
        <v>41699</v>
      </c>
      <c r="N73">
        <v>3</v>
      </c>
      <c r="O73" t="s">
        <v>23</v>
      </c>
      <c r="P73" t="s">
        <v>15</v>
      </c>
      <c r="Q73" s="9">
        <f t="shared" si="3"/>
        <v>0.32659932659932661</v>
      </c>
      <c r="R73" s="9">
        <f t="shared" si="4"/>
        <v>0.67340067340067333</v>
      </c>
      <c r="V73" t="str">
        <f t="shared" si="5"/>
        <v>Good Performance</v>
      </c>
    </row>
    <row r="74" spans="1:22" x14ac:dyDescent="0.25">
      <c r="A74" t="s">
        <v>7</v>
      </c>
      <c r="B74" t="s">
        <v>17</v>
      </c>
      <c r="C74" t="s">
        <v>39</v>
      </c>
      <c r="D74" t="s">
        <v>46</v>
      </c>
      <c r="E74">
        <v>2301</v>
      </c>
      <c r="F74">
        <v>5</v>
      </c>
      <c r="G74">
        <v>300</v>
      </c>
      <c r="H74">
        <v>690300</v>
      </c>
      <c r="I74">
        <v>6903</v>
      </c>
      <c r="J74">
        <v>683397</v>
      </c>
      <c r="K74">
        <v>575250</v>
      </c>
      <c r="L74">
        <v>108147</v>
      </c>
      <c r="M74" s="4">
        <v>41730</v>
      </c>
      <c r="N74">
        <v>4</v>
      </c>
      <c r="O74" t="s">
        <v>24</v>
      </c>
      <c r="P74" t="s">
        <v>15</v>
      </c>
      <c r="Q74" s="9">
        <f t="shared" si="3"/>
        <v>0.15824915824915825</v>
      </c>
      <c r="R74" s="9">
        <f t="shared" si="4"/>
        <v>0.84175084175084181</v>
      </c>
      <c r="V74" t="str">
        <f t="shared" si="5"/>
        <v>Good Performance</v>
      </c>
    </row>
    <row r="75" spans="1:22" x14ac:dyDescent="0.25">
      <c r="A75" t="s">
        <v>10</v>
      </c>
      <c r="B75" t="s">
        <v>18</v>
      </c>
      <c r="C75" t="s">
        <v>39</v>
      </c>
      <c r="D75" t="s">
        <v>46</v>
      </c>
      <c r="E75">
        <v>1375.5</v>
      </c>
      <c r="F75">
        <v>5</v>
      </c>
      <c r="G75">
        <v>20</v>
      </c>
      <c r="H75">
        <v>27510</v>
      </c>
      <c r="I75">
        <v>275.10000000000002</v>
      </c>
      <c r="J75">
        <v>27234.899999999998</v>
      </c>
      <c r="K75">
        <v>13755</v>
      </c>
      <c r="L75">
        <v>13479.899999999998</v>
      </c>
      <c r="M75" s="4">
        <v>41821</v>
      </c>
      <c r="N75">
        <v>7</v>
      </c>
      <c r="O75" t="s">
        <v>27</v>
      </c>
      <c r="P75" t="s">
        <v>15</v>
      </c>
      <c r="Q75" s="9">
        <f t="shared" si="3"/>
        <v>0.49494949494949492</v>
      </c>
      <c r="R75" s="9">
        <f t="shared" si="4"/>
        <v>0.50505050505050508</v>
      </c>
      <c r="V75" t="str">
        <f t="shared" si="5"/>
        <v>Good Performance</v>
      </c>
    </row>
    <row r="76" spans="1:22" x14ac:dyDescent="0.25">
      <c r="A76" t="s">
        <v>10</v>
      </c>
      <c r="B76" t="s">
        <v>16</v>
      </c>
      <c r="C76" t="s">
        <v>39</v>
      </c>
      <c r="D76" t="s">
        <v>46</v>
      </c>
      <c r="E76">
        <v>1830</v>
      </c>
      <c r="F76">
        <v>5</v>
      </c>
      <c r="G76">
        <v>7</v>
      </c>
      <c r="H76">
        <v>12810</v>
      </c>
      <c r="I76">
        <v>128.1</v>
      </c>
      <c r="J76">
        <v>12681.9</v>
      </c>
      <c r="K76">
        <v>9150</v>
      </c>
      <c r="L76">
        <v>3531.8999999999996</v>
      </c>
      <c r="M76" s="4">
        <v>41852</v>
      </c>
      <c r="N76">
        <v>8</v>
      </c>
      <c r="O76" t="s">
        <v>28</v>
      </c>
      <c r="P76" t="s">
        <v>15</v>
      </c>
      <c r="Q76" s="9">
        <f t="shared" si="3"/>
        <v>0.27849927849927847</v>
      </c>
      <c r="R76" s="9">
        <f t="shared" si="4"/>
        <v>0.72150072150072153</v>
      </c>
      <c r="V76" t="str">
        <f t="shared" si="5"/>
        <v>Good Performance</v>
      </c>
    </row>
    <row r="77" spans="1:22" x14ac:dyDescent="0.25">
      <c r="A77" t="s">
        <v>7</v>
      </c>
      <c r="B77" t="s">
        <v>17</v>
      </c>
      <c r="C77" t="s">
        <v>39</v>
      </c>
      <c r="D77" t="s">
        <v>46</v>
      </c>
      <c r="E77">
        <v>2498</v>
      </c>
      <c r="F77">
        <v>5</v>
      </c>
      <c r="G77">
        <v>300</v>
      </c>
      <c r="H77">
        <v>749400</v>
      </c>
      <c r="I77">
        <v>7494</v>
      </c>
      <c r="J77">
        <v>741906</v>
      </c>
      <c r="K77">
        <v>624500</v>
      </c>
      <c r="L77">
        <v>117406</v>
      </c>
      <c r="M77" s="4">
        <v>41518</v>
      </c>
      <c r="N77">
        <v>9</v>
      </c>
      <c r="O77" t="s">
        <v>29</v>
      </c>
      <c r="P77" t="s">
        <v>14</v>
      </c>
      <c r="Q77" s="9">
        <f t="shared" si="3"/>
        <v>0.15824915824915825</v>
      </c>
      <c r="R77" s="9">
        <f t="shared" si="4"/>
        <v>0.84175084175084181</v>
      </c>
      <c r="V77" t="str">
        <f t="shared" si="5"/>
        <v>Good Performance</v>
      </c>
    </row>
    <row r="78" spans="1:22" x14ac:dyDescent="0.25">
      <c r="A78" t="s">
        <v>7</v>
      </c>
      <c r="B78" t="s">
        <v>17</v>
      </c>
      <c r="C78" t="s">
        <v>39</v>
      </c>
      <c r="D78" t="s">
        <v>46</v>
      </c>
      <c r="E78">
        <v>2498</v>
      </c>
      <c r="F78">
        <v>5</v>
      </c>
      <c r="G78">
        <v>300</v>
      </c>
      <c r="H78">
        <v>749400</v>
      </c>
      <c r="I78">
        <v>7494</v>
      </c>
      <c r="J78">
        <v>741906</v>
      </c>
      <c r="K78">
        <v>624500</v>
      </c>
      <c r="L78">
        <v>117406</v>
      </c>
      <c r="M78" s="4">
        <v>41518</v>
      </c>
      <c r="N78">
        <v>9</v>
      </c>
      <c r="O78" t="s">
        <v>29</v>
      </c>
      <c r="P78" t="s">
        <v>14</v>
      </c>
      <c r="Q78" s="9">
        <f t="shared" si="3"/>
        <v>0.15824915824915825</v>
      </c>
      <c r="R78" s="9">
        <f t="shared" si="4"/>
        <v>0.84175084175084181</v>
      </c>
      <c r="V78" t="str">
        <f t="shared" si="5"/>
        <v>Good Performance</v>
      </c>
    </row>
    <row r="79" spans="1:22" x14ac:dyDescent="0.25">
      <c r="A79" t="s">
        <v>9</v>
      </c>
      <c r="B79" t="s">
        <v>17</v>
      </c>
      <c r="C79" t="s">
        <v>39</v>
      </c>
      <c r="D79" t="s">
        <v>46</v>
      </c>
      <c r="E79">
        <v>663</v>
      </c>
      <c r="F79">
        <v>5</v>
      </c>
      <c r="G79">
        <v>125</v>
      </c>
      <c r="H79">
        <v>82875</v>
      </c>
      <c r="I79">
        <v>828.75</v>
      </c>
      <c r="J79">
        <v>82046.25</v>
      </c>
      <c r="K79">
        <v>79560</v>
      </c>
      <c r="L79">
        <v>2486.25</v>
      </c>
      <c r="M79" s="4">
        <v>41548</v>
      </c>
      <c r="N79">
        <v>10</v>
      </c>
      <c r="O79" t="s">
        <v>30</v>
      </c>
      <c r="P79" t="s">
        <v>14</v>
      </c>
      <c r="Q79" s="9">
        <f t="shared" si="3"/>
        <v>3.0303030303030304E-2</v>
      </c>
      <c r="R79" s="9">
        <f t="shared" si="4"/>
        <v>0.96969696969696972</v>
      </c>
      <c r="V79" t="str">
        <f t="shared" si="5"/>
        <v>Under Review</v>
      </c>
    </row>
    <row r="80" spans="1:22" x14ac:dyDescent="0.25">
      <c r="A80" t="s">
        <v>8</v>
      </c>
      <c r="B80" t="s">
        <v>17</v>
      </c>
      <c r="C80" t="s">
        <v>40</v>
      </c>
      <c r="D80" t="s">
        <v>46</v>
      </c>
      <c r="E80">
        <v>1514</v>
      </c>
      <c r="F80">
        <v>10</v>
      </c>
      <c r="G80">
        <v>15</v>
      </c>
      <c r="H80">
        <v>22710</v>
      </c>
      <c r="I80">
        <v>227.1</v>
      </c>
      <c r="J80">
        <v>22482.9</v>
      </c>
      <c r="K80">
        <v>15140</v>
      </c>
      <c r="L80">
        <v>7342.9000000000015</v>
      </c>
      <c r="M80" s="4">
        <v>41671</v>
      </c>
      <c r="N80">
        <v>2</v>
      </c>
      <c r="O80" t="s">
        <v>22</v>
      </c>
      <c r="P80" t="s">
        <v>15</v>
      </c>
      <c r="Q80" s="9">
        <f t="shared" si="3"/>
        <v>0.32659932659932667</v>
      </c>
      <c r="R80" s="9">
        <f t="shared" si="4"/>
        <v>0.67340067340067333</v>
      </c>
      <c r="V80" t="str">
        <f t="shared" si="5"/>
        <v>Good Performance</v>
      </c>
    </row>
    <row r="81" spans="1:22" x14ac:dyDescent="0.25">
      <c r="A81" t="s">
        <v>10</v>
      </c>
      <c r="B81" t="s">
        <v>17</v>
      </c>
      <c r="C81" t="s">
        <v>40</v>
      </c>
      <c r="D81" t="s">
        <v>46</v>
      </c>
      <c r="E81">
        <v>4492.5</v>
      </c>
      <c r="F81">
        <v>10</v>
      </c>
      <c r="G81">
        <v>7</v>
      </c>
      <c r="H81">
        <v>31447.5</v>
      </c>
      <c r="I81">
        <v>314.47500000000002</v>
      </c>
      <c r="J81">
        <v>31133.024999999998</v>
      </c>
      <c r="K81">
        <v>22462.5</v>
      </c>
      <c r="L81">
        <v>8670.5249999999978</v>
      </c>
      <c r="M81" s="4">
        <v>41730</v>
      </c>
      <c r="N81">
        <v>4</v>
      </c>
      <c r="O81" t="s">
        <v>24</v>
      </c>
      <c r="P81" t="s">
        <v>15</v>
      </c>
      <c r="Q81" s="9">
        <f t="shared" si="3"/>
        <v>0.27849927849927847</v>
      </c>
      <c r="R81" s="9">
        <f t="shared" si="4"/>
        <v>0.72150072150072153</v>
      </c>
      <c r="V81" t="str">
        <f t="shared" si="5"/>
        <v>Good Performance</v>
      </c>
    </row>
    <row r="82" spans="1:22" x14ac:dyDescent="0.25">
      <c r="A82" t="s">
        <v>9</v>
      </c>
      <c r="B82" t="s">
        <v>17</v>
      </c>
      <c r="C82" t="s">
        <v>40</v>
      </c>
      <c r="D82" t="s">
        <v>46</v>
      </c>
      <c r="E82">
        <v>727</v>
      </c>
      <c r="F82">
        <v>10</v>
      </c>
      <c r="G82">
        <v>125</v>
      </c>
      <c r="H82">
        <v>90875</v>
      </c>
      <c r="I82">
        <v>908.75</v>
      </c>
      <c r="J82">
        <v>89966.25</v>
      </c>
      <c r="K82">
        <v>87240</v>
      </c>
      <c r="L82">
        <v>2726.25</v>
      </c>
      <c r="M82" s="4">
        <v>41791</v>
      </c>
      <c r="N82">
        <v>6</v>
      </c>
      <c r="O82" t="s">
        <v>26</v>
      </c>
      <c r="P82" t="s">
        <v>15</v>
      </c>
      <c r="Q82" s="9">
        <f t="shared" si="3"/>
        <v>3.0303030303030304E-2</v>
      </c>
      <c r="R82" s="9">
        <f t="shared" si="4"/>
        <v>0.96969696969696972</v>
      </c>
      <c r="V82" t="str">
        <f t="shared" si="5"/>
        <v>Under Review</v>
      </c>
    </row>
    <row r="83" spans="1:22" x14ac:dyDescent="0.25">
      <c r="A83" t="s">
        <v>9</v>
      </c>
      <c r="B83" t="s">
        <v>18</v>
      </c>
      <c r="C83" t="s">
        <v>40</v>
      </c>
      <c r="D83" t="s">
        <v>46</v>
      </c>
      <c r="E83">
        <v>787</v>
      </c>
      <c r="F83">
        <v>10</v>
      </c>
      <c r="G83">
        <v>125</v>
      </c>
      <c r="H83">
        <v>98375</v>
      </c>
      <c r="I83">
        <v>983.75</v>
      </c>
      <c r="J83">
        <v>97391.25</v>
      </c>
      <c r="K83">
        <v>94440</v>
      </c>
      <c r="L83">
        <v>2951.25</v>
      </c>
      <c r="M83" s="4">
        <v>41791</v>
      </c>
      <c r="N83">
        <v>6</v>
      </c>
      <c r="O83" t="s">
        <v>26</v>
      </c>
      <c r="P83" t="s">
        <v>15</v>
      </c>
      <c r="Q83" s="9">
        <f t="shared" si="3"/>
        <v>3.0303030303030304E-2</v>
      </c>
      <c r="R83" s="9">
        <f t="shared" si="4"/>
        <v>0.96969696969696972</v>
      </c>
      <c r="V83" t="str">
        <f t="shared" si="5"/>
        <v>Under Review</v>
      </c>
    </row>
    <row r="84" spans="1:22" x14ac:dyDescent="0.25">
      <c r="A84" t="s">
        <v>9</v>
      </c>
      <c r="B84" t="s">
        <v>20</v>
      </c>
      <c r="C84" t="s">
        <v>40</v>
      </c>
      <c r="D84" t="s">
        <v>46</v>
      </c>
      <c r="E84">
        <v>1823</v>
      </c>
      <c r="F84">
        <v>10</v>
      </c>
      <c r="G84">
        <v>125</v>
      </c>
      <c r="H84">
        <v>227875</v>
      </c>
      <c r="I84">
        <v>2278.75</v>
      </c>
      <c r="J84">
        <v>225596.25</v>
      </c>
      <c r="K84">
        <v>218760</v>
      </c>
      <c r="L84">
        <v>6836.25</v>
      </c>
      <c r="M84" s="4">
        <v>41821</v>
      </c>
      <c r="N84">
        <v>7</v>
      </c>
      <c r="O84" t="s">
        <v>27</v>
      </c>
      <c r="P84" t="s">
        <v>15</v>
      </c>
      <c r="Q84" s="9">
        <f t="shared" si="3"/>
        <v>3.0303030303030304E-2</v>
      </c>
      <c r="R84" s="9">
        <f t="shared" si="4"/>
        <v>0.96969696969696972</v>
      </c>
      <c r="V84" t="str">
        <f t="shared" si="5"/>
        <v>Under Review</v>
      </c>
    </row>
    <row r="85" spans="1:22" x14ac:dyDescent="0.25">
      <c r="A85" t="s">
        <v>8</v>
      </c>
      <c r="B85" t="s">
        <v>19</v>
      </c>
      <c r="C85" t="s">
        <v>40</v>
      </c>
      <c r="D85" t="s">
        <v>46</v>
      </c>
      <c r="E85">
        <v>747</v>
      </c>
      <c r="F85">
        <v>10</v>
      </c>
      <c r="G85">
        <v>15</v>
      </c>
      <c r="H85">
        <v>11205</v>
      </c>
      <c r="I85">
        <v>112.05</v>
      </c>
      <c r="J85">
        <v>11092.95</v>
      </c>
      <c r="K85">
        <v>7470</v>
      </c>
      <c r="L85">
        <v>3622.9500000000007</v>
      </c>
      <c r="M85" s="4">
        <v>41883</v>
      </c>
      <c r="N85">
        <v>9</v>
      </c>
      <c r="O85" t="s">
        <v>29</v>
      </c>
      <c r="P85" t="s">
        <v>15</v>
      </c>
      <c r="Q85" s="9">
        <f t="shared" si="3"/>
        <v>0.32659932659932667</v>
      </c>
      <c r="R85" s="9">
        <f t="shared" si="4"/>
        <v>0.67340067340067333</v>
      </c>
      <c r="V85" t="str">
        <f t="shared" si="5"/>
        <v>Good Performance</v>
      </c>
    </row>
    <row r="86" spans="1:22" x14ac:dyDescent="0.25">
      <c r="A86" t="s">
        <v>11</v>
      </c>
      <c r="B86" t="s">
        <v>19</v>
      </c>
      <c r="C86" t="s">
        <v>40</v>
      </c>
      <c r="D86" t="s">
        <v>46</v>
      </c>
      <c r="E86">
        <v>766</v>
      </c>
      <c r="F86">
        <v>10</v>
      </c>
      <c r="G86">
        <v>12</v>
      </c>
      <c r="H86">
        <v>9192</v>
      </c>
      <c r="I86">
        <v>91.92</v>
      </c>
      <c r="J86">
        <v>9100.08</v>
      </c>
      <c r="K86">
        <v>2298</v>
      </c>
      <c r="L86">
        <v>6802.08</v>
      </c>
      <c r="M86" s="4">
        <v>41548</v>
      </c>
      <c r="N86">
        <v>10</v>
      </c>
      <c r="O86" t="s">
        <v>30</v>
      </c>
      <c r="P86" t="s">
        <v>14</v>
      </c>
      <c r="Q86" s="9">
        <f t="shared" si="3"/>
        <v>0.74747474747474751</v>
      </c>
      <c r="R86" s="9">
        <f t="shared" si="4"/>
        <v>0.25252525252525254</v>
      </c>
      <c r="V86" t="str">
        <f t="shared" si="5"/>
        <v>Good Performance</v>
      </c>
    </row>
    <row r="87" spans="1:22" x14ac:dyDescent="0.25">
      <c r="A87" t="s">
        <v>7</v>
      </c>
      <c r="B87" t="s">
        <v>17</v>
      </c>
      <c r="C87" t="s">
        <v>40</v>
      </c>
      <c r="D87" t="s">
        <v>46</v>
      </c>
      <c r="E87">
        <v>2905</v>
      </c>
      <c r="F87">
        <v>10</v>
      </c>
      <c r="G87">
        <v>300</v>
      </c>
      <c r="H87">
        <v>871500</v>
      </c>
      <c r="I87">
        <v>8715</v>
      </c>
      <c r="J87">
        <v>862785</v>
      </c>
      <c r="K87">
        <v>726250</v>
      </c>
      <c r="L87">
        <v>136535</v>
      </c>
      <c r="M87" s="4">
        <v>41944</v>
      </c>
      <c r="N87">
        <v>11</v>
      </c>
      <c r="O87" t="s">
        <v>31</v>
      </c>
      <c r="P87" t="s">
        <v>15</v>
      </c>
      <c r="Q87" s="9">
        <f t="shared" si="3"/>
        <v>0.15824915824915825</v>
      </c>
      <c r="R87" s="9">
        <f t="shared" si="4"/>
        <v>0.84175084175084181</v>
      </c>
      <c r="V87" t="str">
        <f t="shared" si="5"/>
        <v>Good Performance</v>
      </c>
    </row>
    <row r="88" spans="1:22" x14ac:dyDescent="0.25">
      <c r="A88" t="s">
        <v>10</v>
      </c>
      <c r="B88" t="s">
        <v>18</v>
      </c>
      <c r="C88" t="s">
        <v>40</v>
      </c>
      <c r="D88" t="s">
        <v>46</v>
      </c>
      <c r="E88">
        <v>2155</v>
      </c>
      <c r="F88">
        <v>10</v>
      </c>
      <c r="G88">
        <v>350</v>
      </c>
      <c r="H88">
        <v>754250</v>
      </c>
      <c r="I88">
        <v>7542.5</v>
      </c>
      <c r="J88">
        <v>746707.5</v>
      </c>
      <c r="K88">
        <v>560300</v>
      </c>
      <c r="L88">
        <v>186407.5</v>
      </c>
      <c r="M88" s="4">
        <v>41974</v>
      </c>
      <c r="N88">
        <v>12</v>
      </c>
      <c r="O88" t="s">
        <v>32</v>
      </c>
      <c r="P88" t="s">
        <v>15</v>
      </c>
      <c r="Q88" s="9">
        <f t="shared" si="3"/>
        <v>0.24963924963924963</v>
      </c>
      <c r="R88" s="9">
        <f t="shared" si="4"/>
        <v>0.75036075036075034</v>
      </c>
      <c r="V88" t="str">
        <f t="shared" si="5"/>
        <v>Good Performance</v>
      </c>
    </row>
    <row r="89" spans="1:22" x14ac:dyDescent="0.25">
      <c r="A89" t="s">
        <v>10</v>
      </c>
      <c r="B89" t="s">
        <v>18</v>
      </c>
      <c r="C89" t="s">
        <v>41</v>
      </c>
      <c r="D89" t="s">
        <v>46</v>
      </c>
      <c r="E89">
        <v>3864</v>
      </c>
      <c r="F89">
        <v>120</v>
      </c>
      <c r="G89">
        <v>20</v>
      </c>
      <c r="H89">
        <v>77280</v>
      </c>
      <c r="I89">
        <v>772.80000000000007</v>
      </c>
      <c r="J89">
        <v>76507.200000000012</v>
      </c>
      <c r="K89">
        <v>38640</v>
      </c>
      <c r="L89">
        <v>37867.200000000004</v>
      </c>
      <c r="M89" s="4">
        <v>41730</v>
      </c>
      <c r="N89">
        <v>4</v>
      </c>
      <c r="O89" t="s">
        <v>24</v>
      </c>
      <c r="P89" t="s">
        <v>15</v>
      </c>
      <c r="Q89" s="9">
        <f t="shared" si="3"/>
        <v>0.49494949494949492</v>
      </c>
      <c r="R89" s="9">
        <f t="shared" si="4"/>
        <v>0.50505050505050497</v>
      </c>
      <c r="V89" t="str">
        <f t="shared" si="5"/>
        <v>Good Performance</v>
      </c>
    </row>
    <row r="90" spans="1:22" x14ac:dyDescent="0.25">
      <c r="A90" t="s">
        <v>10</v>
      </c>
      <c r="B90" t="s">
        <v>20</v>
      </c>
      <c r="C90" t="s">
        <v>41</v>
      </c>
      <c r="D90" t="s">
        <v>46</v>
      </c>
      <c r="E90">
        <v>362</v>
      </c>
      <c r="F90">
        <v>120</v>
      </c>
      <c r="G90">
        <v>7</v>
      </c>
      <c r="H90">
        <v>2534</v>
      </c>
      <c r="I90">
        <v>25.34</v>
      </c>
      <c r="J90">
        <v>2508.66</v>
      </c>
      <c r="K90">
        <v>1810</v>
      </c>
      <c r="L90">
        <v>698.65999999999985</v>
      </c>
      <c r="M90" s="4">
        <v>41760</v>
      </c>
      <c r="N90">
        <v>5</v>
      </c>
      <c r="O90" t="s">
        <v>25</v>
      </c>
      <c r="P90" t="s">
        <v>15</v>
      </c>
      <c r="Q90" s="9">
        <f t="shared" si="3"/>
        <v>0.27849927849927847</v>
      </c>
      <c r="R90" s="9">
        <f t="shared" si="4"/>
        <v>0.72150072150072153</v>
      </c>
      <c r="V90" t="str">
        <f t="shared" si="5"/>
        <v>Good Performance</v>
      </c>
    </row>
    <row r="91" spans="1:22" x14ac:dyDescent="0.25">
      <c r="A91" t="s">
        <v>9</v>
      </c>
      <c r="B91" t="s">
        <v>16</v>
      </c>
      <c r="C91" t="s">
        <v>41</v>
      </c>
      <c r="D91" t="s">
        <v>46</v>
      </c>
      <c r="E91">
        <v>923</v>
      </c>
      <c r="F91">
        <v>120</v>
      </c>
      <c r="G91">
        <v>125</v>
      </c>
      <c r="H91">
        <v>115375</v>
      </c>
      <c r="I91">
        <v>1153.75</v>
      </c>
      <c r="J91">
        <v>114221.25</v>
      </c>
      <c r="K91">
        <v>110760</v>
      </c>
      <c r="L91">
        <v>3461.25</v>
      </c>
      <c r="M91" s="4">
        <v>41852</v>
      </c>
      <c r="N91">
        <v>8</v>
      </c>
      <c r="O91" t="s">
        <v>28</v>
      </c>
      <c r="P91" t="s">
        <v>15</v>
      </c>
      <c r="Q91" s="9">
        <f t="shared" si="3"/>
        <v>3.0303030303030304E-2</v>
      </c>
      <c r="R91" s="9">
        <f t="shared" si="4"/>
        <v>0.96969696969696972</v>
      </c>
      <c r="V91" t="str">
        <f t="shared" si="5"/>
        <v>Under Review</v>
      </c>
    </row>
    <row r="92" spans="1:22" x14ac:dyDescent="0.25">
      <c r="A92" t="s">
        <v>9</v>
      </c>
      <c r="B92" t="s">
        <v>17</v>
      </c>
      <c r="C92" t="s">
        <v>41</v>
      </c>
      <c r="D92" t="s">
        <v>46</v>
      </c>
      <c r="E92">
        <v>663</v>
      </c>
      <c r="F92">
        <v>120</v>
      </c>
      <c r="G92">
        <v>125</v>
      </c>
      <c r="H92">
        <v>82875</v>
      </c>
      <c r="I92">
        <v>828.75</v>
      </c>
      <c r="J92">
        <v>82046.25</v>
      </c>
      <c r="K92">
        <v>79560</v>
      </c>
      <c r="L92">
        <v>2486.25</v>
      </c>
      <c r="M92" s="4">
        <v>41548</v>
      </c>
      <c r="N92">
        <v>10</v>
      </c>
      <c r="O92" t="s">
        <v>30</v>
      </c>
      <c r="P92" t="s">
        <v>14</v>
      </c>
      <c r="Q92" s="9">
        <f t="shared" si="3"/>
        <v>3.0303030303030304E-2</v>
      </c>
      <c r="R92" s="9">
        <f t="shared" si="4"/>
        <v>0.96969696969696972</v>
      </c>
      <c r="V92" t="str">
        <f t="shared" si="5"/>
        <v>Under Review</v>
      </c>
    </row>
    <row r="93" spans="1:22" x14ac:dyDescent="0.25">
      <c r="A93" t="s">
        <v>10</v>
      </c>
      <c r="B93" t="s">
        <v>16</v>
      </c>
      <c r="C93" t="s">
        <v>41</v>
      </c>
      <c r="D93" t="s">
        <v>46</v>
      </c>
      <c r="E93">
        <v>2092</v>
      </c>
      <c r="F93">
        <v>120</v>
      </c>
      <c r="G93">
        <v>7</v>
      </c>
      <c r="H93">
        <v>14644</v>
      </c>
      <c r="I93">
        <v>146.44</v>
      </c>
      <c r="J93">
        <v>14497.56</v>
      </c>
      <c r="K93">
        <v>10460</v>
      </c>
      <c r="L93">
        <v>4037.5599999999995</v>
      </c>
      <c r="M93" s="4">
        <v>41579</v>
      </c>
      <c r="N93">
        <v>11</v>
      </c>
      <c r="O93" t="s">
        <v>31</v>
      </c>
      <c r="P93" t="s">
        <v>14</v>
      </c>
      <c r="Q93" s="9">
        <f t="shared" si="3"/>
        <v>0.27849927849927847</v>
      </c>
      <c r="R93" s="9">
        <f t="shared" si="4"/>
        <v>0.72150072150072153</v>
      </c>
      <c r="V93" t="str">
        <f t="shared" si="5"/>
        <v>Good Performance</v>
      </c>
    </row>
    <row r="94" spans="1:22" x14ac:dyDescent="0.25">
      <c r="A94" t="s">
        <v>10</v>
      </c>
      <c r="B94" t="s">
        <v>19</v>
      </c>
      <c r="C94" t="s">
        <v>42</v>
      </c>
      <c r="D94" t="s">
        <v>46</v>
      </c>
      <c r="E94">
        <v>263</v>
      </c>
      <c r="F94">
        <v>250</v>
      </c>
      <c r="G94">
        <v>7</v>
      </c>
      <c r="H94">
        <v>1841</v>
      </c>
      <c r="I94">
        <v>18.41</v>
      </c>
      <c r="J94">
        <v>1822.59</v>
      </c>
      <c r="K94">
        <v>1315</v>
      </c>
      <c r="L94">
        <v>507.58999999999992</v>
      </c>
      <c r="M94" s="4">
        <v>41699</v>
      </c>
      <c r="N94">
        <v>3</v>
      </c>
      <c r="O94" t="s">
        <v>23</v>
      </c>
      <c r="P94" t="s">
        <v>15</v>
      </c>
      <c r="Q94" s="9">
        <f t="shared" si="3"/>
        <v>0.27849927849927847</v>
      </c>
      <c r="R94" s="9">
        <f t="shared" si="4"/>
        <v>0.72150072150072153</v>
      </c>
      <c r="V94" t="str">
        <f t="shared" si="5"/>
        <v>Good Performance</v>
      </c>
    </row>
    <row r="95" spans="1:22" x14ac:dyDescent="0.25">
      <c r="A95" t="s">
        <v>10</v>
      </c>
      <c r="B95" t="s">
        <v>16</v>
      </c>
      <c r="C95" t="s">
        <v>42</v>
      </c>
      <c r="D95" t="s">
        <v>46</v>
      </c>
      <c r="E95">
        <v>943.5</v>
      </c>
      <c r="F95">
        <v>250</v>
      </c>
      <c r="G95">
        <v>350</v>
      </c>
      <c r="H95">
        <v>330225</v>
      </c>
      <c r="I95">
        <v>3302.25</v>
      </c>
      <c r="J95">
        <v>326922.75</v>
      </c>
      <c r="K95">
        <v>245310</v>
      </c>
      <c r="L95">
        <v>81612.75</v>
      </c>
      <c r="M95" s="4">
        <v>41730</v>
      </c>
      <c r="N95">
        <v>4</v>
      </c>
      <c r="O95" t="s">
        <v>24</v>
      </c>
      <c r="P95" t="s">
        <v>15</v>
      </c>
      <c r="Q95" s="9">
        <f t="shared" si="3"/>
        <v>0.24963924963924963</v>
      </c>
      <c r="R95" s="9">
        <f t="shared" si="4"/>
        <v>0.75036075036075034</v>
      </c>
      <c r="V95" t="str">
        <f t="shared" si="5"/>
        <v>Good Performance</v>
      </c>
    </row>
    <row r="96" spans="1:22" x14ac:dyDescent="0.25">
      <c r="A96" t="s">
        <v>9</v>
      </c>
      <c r="B96" t="s">
        <v>17</v>
      </c>
      <c r="C96" t="s">
        <v>42</v>
      </c>
      <c r="D96" t="s">
        <v>46</v>
      </c>
      <c r="E96">
        <v>727</v>
      </c>
      <c r="F96">
        <v>250</v>
      </c>
      <c r="G96">
        <v>125</v>
      </c>
      <c r="H96">
        <v>90875</v>
      </c>
      <c r="I96">
        <v>908.75</v>
      </c>
      <c r="J96">
        <v>89966.25</v>
      </c>
      <c r="K96">
        <v>87240</v>
      </c>
      <c r="L96">
        <v>2726.25</v>
      </c>
      <c r="M96" s="4">
        <v>41791</v>
      </c>
      <c r="N96">
        <v>6</v>
      </c>
      <c r="O96" t="s">
        <v>26</v>
      </c>
      <c r="P96" t="s">
        <v>15</v>
      </c>
      <c r="Q96" s="9">
        <f t="shared" si="3"/>
        <v>3.0303030303030304E-2</v>
      </c>
      <c r="R96" s="9">
        <f t="shared" si="4"/>
        <v>0.96969696969696972</v>
      </c>
      <c r="V96" t="str">
        <f t="shared" si="5"/>
        <v>Under Review</v>
      </c>
    </row>
    <row r="97" spans="1:22" x14ac:dyDescent="0.25">
      <c r="A97" t="s">
        <v>9</v>
      </c>
      <c r="B97" t="s">
        <v>18</v>
      </c>
      <c r="C97" t="s">
        <v>42</v>
      </c>
      <c r="D97" t="s">
        <v>46</v>
      </c>
      <c r="E97">
        <v>787</v>
      </c>
      <c r="F97">
        <v>250</v>
      </c>
      <c r="G97">
        <v>125</v>
      </c>
      <c r="H97">
        <v>98375</v>
      </c>
      <c r="I97">
        <v>983.75</v>
      </c>
      <c r="J97">
        <v>97391.25</v>
      </c>
      <c r="K97">
        <v>94440</v>
      </c>
      <c r="L97">
        <v>2951.25</v>
      </c>
      <c r="M97" s="4">
        <v>41791</v>
      </c>
      <c r="N97">
        <v>6</v>
      </c>
      <c r="O97" t="s">
        <v>26</v>
      </c>
      <c r="P97" t="s">
        <v>15</v>
      </c>
      <c r="Q97" s="9">
        <f t="shared" si="3"/>
        <v>3.0303030303030304E-2</v>
      </c>
      <c r="R97" s="9">
        <f t="shared" si="4"/>
        <v>0.96969696969696972</v>
      </c>
      <c r="V97" t="str">
        <f t="shared" si="5"/>
        <v>Under Review</v>
      </c>
    </row>
    <row r="98" spans="1:22" x14ac:dyDescent="0.25">
      <c r="A98" t="s">
        <v>7</v>
      </c>
      <c r="B98" t="s">
        <v>19</v>
      </c>
      <c r="C98" t="s">
        <v>42</v>
      </c>
      <c r="D98" t="s">
        <v>46</v>
      </c>
      <c r="E98">
        <v>986</v>
      </c>
      <c r="F98">
        <v>250</v>
      </c>
      <c r="G98">
        <v>300</v>
      </c>
      <c r="H98">
        <v>295800</v>
      </c>
      <c r="I98">
        <v>2958</v>
      </c>
      <c r="J98">
        <v>292842</v>
      </c>
      <c r="K98">
        <v>246500</v>
      </c>
      <c r="L98">
        <v>46342</v>
      </c>
      <c r="M98" s="4">
        <v>41883</v>
      </c>
      <c r="N98">
        <v>9</v>
      </c>
      <c r="O98" t="s">
        <v>29</v>
      </c>
      <c r="P98" t="s">
        <v>15</v>
      </c>
      <c r="Q98" s="9">
        <f t="shared" si="3"/>
        <v>0.15824915824915825</v>
      </c>
      <c r="R98" s="9">
        <f t="shared" si="4"/>
        <v>0.84175084175084181</v>
      </c>
      <c r="V98" t="str">
        <f t="shared" si="5"/>
        <v>Good Performance</v>
      </c>
    </row>
    <row r="99" spans="1:22" x14ac:dyDescent="0.25">
      <c r="A99" t="s">
        <v>7</v>
      </c>
      <c r="B99" t="s">
        <v>20</v>
      </c>
      <c r="C99" t="s">
        <v>42</v>
      </c>
      <c r="D99" t="s">
        <v>46</v>
      </c>
      <c r="E99">
        <v>494</v>
      </c>
      <c r="F99">
        <v>250</v>
      </c>
      <c r="G99">
        <v>300</v>
      </c>
      <c r="H99">
        <v>148200</v>
      </c>
      <c r="I99">
        <v>1482</v>
      </c>
      <c r="J99">
        <v>146718</v>
      </c>
      <c r="K99">
        <v>123500</v>
      </c>
      <c r="L99">
        <v>23218</v>
      </c>
      <c r="M99" s="4">
        <v>41548</v>
      </c>
      <c r="N99">
        <v>10</v>
      </c>
      <c r="O99" t="s">
        <v>30</v>
      </c>
      <c r="P99" t="s">
        <v>14</v>
      </c>
      <c r="Q99" s="9">
        <f t="shared" si="3"/>
        <v>0.15824915824915825</v>
      </c>
      <c r="R99" s="9">
        <f t="shared" si="4"/>
        <v>0.84175084175084181</v>
      </c>
      <c r="V99" t="str">
        <f t="shared" si="5"/>
        <v>Good Performance</v>
      </c>
    </row>
    <row r="100" spans="1:22" x14ac:dyDescent="0.25">
      <c r="A100" t="s">
        <v>10</v>
      </c>
      <c r="B100" t="s">
        <v>20</v>
      </c>
      <c r="C100" t="s">
        <v>42</v>
      </c>
      <c r="D100" t="s">
        <v>46</v>
      </c>
      <c r="E100">
        <v>1397</v>
      </c>
      <c r="F100">
        <v>250</v>
      </c>
      <c r="G100">
        <v>350</v>
      </c>
      <c r="H100">
        <v>488950</v>
      </c>
      <c r="I100">
        <v>4889.5</v>
      </c>
      <c r="J100">
        <v>484060.5</v>
      </c>
      <c r="K100">
        <v>363220</v>
      </c>
      <c r="L100">
        <v>120840.5</v>
      </c>
      <c r="M100" s="4">
        <v>41913</v>
      </c>
      <c r="N100">
        <v>10</v>
      </c>
      <c r="O100" t="s">
        <v>30</v>
      </c>
      <c r="P100" t="s">
        <v>15</v>
      </c>
      <c r="Q100" s="9">
        <f t="shared" si="3"/>
        <v>0.24963924963924963</v>
      </c>
      <c r="R100" s="9">
        <f t="shared" si="4"/>
        <v>0.75036075036075034</v>
      </c>
      <c r="V100" t="str">
        <f t="shared" si="5"/>
        <v>Good Performance</v>
      </c>
    </row>
    <row r="101" spans="1:22" x14ac:dyDescent="0.25">
      <c r="A101" t="s">
        <v>9</v>
      </c>
      <c r="B101" t="s">
        <v>18</v>
      </c>
      <c r="C101" t="s">
        <v>42</v>
      </c>
      <c r="D101" t="s">
        <v>46</v>
      </c>
      <c r="E101">
        <v>1744</v>
      </c>
      <c r="F101">
        <v>250</v>
      </c>
      <c r="G101">
        <v>125</v>
      </c>
      <c r="H101">
        <v>218000</v>
      </c>
      <c r="I101">
        <v>2180</v>
      </c>
      <c r="J101">
        <v>215820</v>
      </c>
      <c r="K101">
        <v>209280</v>
      </c>
      <c r="L101">
        <v>6540</v>
      </c>
      <c r="M101" s="4">
        <v>41944</v>
      </c>
      <c r="N101">
        <v>11</v>
      </c>
      <c r="O101" t="s">
        <v>31</v>
      </c>
      <c r="P101" t="s">
        <v>15</v>
      </c>
      <c r="Q101" s="9">
        <f t="shared" si="3"/>
        <v>3.0303030303030304E-2</v>
      </c>
      <c r="R101" s="9">
        <f t="shared" si="4"/>
        <v>0.96969696969696972</v>
      </c>
      <c r="V101" t="str">
        <f t="shared" si="5"/>
        <v>Under Review</v>
      </c>
    </row>
    <row r="102" spans="1:22" x14ac:dyDescent="0.25">
      <c r="A102" t="s">
        <v>11</v>
      </c>
      <c r="B102" t="s">
        <v>17</v>
      </c>
      <c r="C102" t="s">
        <v>43</v>
      </c>
      <c r="D102" t="s">
        <v>46</v>
      </c>
      <c r="E102">
        <v>1989</v>
      </c>
      <c r="F102">
        <v>260</v>
      </c>
      <c r="G102">
        <v>12</v>
      </c>
      <c r="H102">
        <v>23868</v>
      </c>
      <c r="I102">
        <v>238.68</v>
      </c>
      <c r="J102">
        <v>23629.32</v>
      </c>
      <c r="K102">
        <v>5967</v>
      </c>
      <c r="L102">
        <v>17662.32</v>
      </c>
      <c r="M102" s="4">
        <v>41518</v>
      </c>
      <c r="N102">
        <v>9</v>
      </c>
      <c r="O102" t="s">
        <v>29</v>
      </c>
      <c r="P102" t="s">
        <v>14</v>
      </c>
      <c r="Q102" s="9">
        <f t="shared" si="3"/>
        <v>0.74747474747474751</v>
      </c>
      <c r="R102" s="9">
        <f t="shared" si="4"/>
        <v>0.25252525252525254</v>
      </c>
      <c r="V102" t="str">
        <f t="shared" si="5"/>
        <v>Good Performance</v>
      </c>
    </row>
    <row r="103" spans="1:22" x14ac:dyDescent="0.25">
      <c r="A103" t="s">
        <v>8</v>
      </c>
      <c r="B103" t="s">
        <v>18</v>
      </c>
      <c r="C103" t="s">
        <v>43</v>
      </c>
      <c r="D103" t="s">
        <v>46</v>
      </c>
      <c r="E103">
        <v>321</v>
      </c>
      <c r="F103">
        <v>260</v>
      </c>
      <c r="G103">
        <v>15</v>
      </c>
      <c r="H103">
        <v>4815</v>
      </c>
      <c r="I103">
        <v>48.15</v>
      </c>
      <c r="J103">
        <v>4766.8500000000004</v>
      </c>
      <c r="K103">
        <v>3210</v>
      </c>
      <c r="L103">
        <v>1556.8500000000004</v>
      </c>
      <c r="M103" s="4">
        <v>41579</v>
      </c>
      <c r="N103">
        <v>11</v>
      </c>
      <c r="O103" t="s">
        <v>31</v>
      </c>
      <c r="P103" t="s">
        <v>14</v>
      </c>
      <c r="Q103" s="9">
        <f t="shared" si="3"/>
        <v>0.32659932659932667</v>
      </c>
      <c r="R103" s="9">
        <f t="shared" si="4"/>
        <v>0.67340067340067333</v>
      </c>
      <c r="V103" t="str">
        <f t="shared" si="5"/>
        <v>Good Performance</v>
      </c>
    </row>
    <row r="104" spans="1:22" x14ac:dyDescent="0.25">
      <c r="A104" t="s">
        <v>9</v>
      </c>
      <c r="B104" t="s">
        <v>16</v>
      </c>
      <c r="C104" t="s">
        <v>38</v>
      </c>
      <c r="D104" t="s">
        <v>46</v>
      </c>
      <c r="E104">
        <v>742.5</v>
      </c>
      <c r="F104">
        <v>3</v>
      </c>
      <c r="G104">
        <v>125</v>
      </c>
      <c r="H104">
        <v>92812.5</v>
      </c>
      <c r="I104">
        <v>1856.25</v>
      </c>
      <c r="J104">
        <v>90956.25</v>
      </c>
      <c r="K104">
        <v>89100</v>
      </c>
      <c r="L104">
        <v>1856.25</v>
      </c>
      <c r="M104" s="4">
        <v>41730</v>
      </c>
      <c r="N104">
        <v>4</v>
      </c>
      <c r="O104" t="s">
        <v>24</v>
      </c>
      <c r="P104" t="s">
        <v>15</v>
      </c>
      <c r="Q104" s="9">
        <f t="shared" si="3"/>
        <v>2.0408163265306121E-2</v>
      </c>
      <c r="R104" s="9">
        <f t="shared" si="4"/>
        <v>0.97959183673469385</v>
      </c>
      <c r="V104" t="str">
        <f t="shared" si="5"/>
        <v>Under Review</v>
      </c>
    </row>
    <row r="105" spans="1:22" x14ac:dyDescent="0.25">
      <c r="A105" t="s">
        <v>11</v>
      </c>
      <c r="B105" t="s">
        <v>16</v>
      </c>
      <c r="C105" t="s">
        <v>38</v>
      </c>
      <c r="D105" t="s">
        <v>46</v>
      </c>
      <c r="E105">
        <v>1295</v>
      </c>
      <c r="F105">
        <v>3</v>
      </c>
      <c r="G105">
        <v>12</v>
      </c>
      <c r="H105">
        <v>15540</v>
      </c>
      <c r="I105">
        <v>310.8</v>
      </c>
      <c r="J105">
        <v>15229.2</v>
      </c>
      <c r="K105">
        <v>3885</v>
      </c>
      <c r="L105">
        <v>11344.2</v>
      </c>
      <c r="M105" s="4">
        <v>41913</v>
      </c>
      <c r="N105">
        <v>10</v>
      </c>
      <c r="O105" t="s">
        <v>30</v>
      </c>
      <c r="P105" t="s">
        <v>15</v>
      </c>
      <c r="Q105" s="9">
        <f t="shared" si="3"/>
        <v>0.74489795918367352</v>
      </c>
      <c r="R105" s="9">
        <f t="shared" si="4"/>
        <v>0.25510204081632654</v>
      </c>
      <c r="V105" t="str">
        <f t="shared" si="5"/>
        <v>Good Performance</v>
      </c>
    </row>
    <row r="106" spans="1:22" x14ac:dyDescent="0.25">
      <c r="A106" t="s">
        <v>7</v>
      </c>
      <c r="B106" t="s">
        <v>19</v>
      </c>
      <c r="C106" t="s">
        <v>38</v>
      </c>
      <c r="D106" t="s">
        <v>46</v>
      </c>
      <c r="E106">
        <v>214</v>
      </c>
      <c r="F106">
        <v>3</v>
      </c>
      <c r="G106">
        <v>300</v>
      </c>
      <c r="H106">
        <v>64200</v>
      </c>
      <c r="I106">
        <v>1284</v>
      </c>
      <c r="J106">
        <v>62916</v>
      </c>
      <c r="K106">
        <v>53500</v>
      </c>
      <c r="L106">
        <v>9416</v>
      </c>
      <c r="M106" s="4">
        <v>41548</v>
      </c>
      <c r="N106">
        <v>10</v>
      </c>
      <c r="O106" t="s">
        <v>30</v>
      </c>
      <c r="P106" t="s">
        <v>14</v>
      </c>
      <c r="Q106" s="9">
        <f t="shared" si="3"/>
        <v>0.14965986394557823</v>
      </c>
      <c r="R106" s="9">
        <f t="shared" si="4"/>
        <v>0.85034013605442171</v>
      </c>
      <c r="V106" t="str">
        <f t="shared" si="5"/>
        <v>Good Performance</v>
      </c>
    </row>
    <row r="107" spans="1:22" x14ac:dyDescent="0.25">
      <c r="A107" t="s">
        <v>10</v>
      </c>
      <c r="B107" t="s">
        <v>18</v>
      </c>
      <c r="C107" t="s">
        <v>38</v>
      </c>
      <c r="D107" t="s">
        <v>46</v>
      </c>
      <c r="E107">
        <v>2145</v>
      </c>
      <c r="F107">
        <v>3</v>
      </c>
      <c r="G107">
        <v>7</v>
      </c>
      <c r="H107">
        <v>15015</v>
      </c>
      <c r="I107">
        <v>300.3</v>
      </c>
      <c r="J107">
        <v>14714.7</v>
      </c>
      <c r="K107">
        <v>10725</v>
      </c>
      <c r="L107">
        <v>3989.7000000000007</v>
      </c>
      <c r="M107" s="4">
        <v>41579</v>
      </c>
      <c r="N107">
        <v>11</v>
      </c>
      <c r="O107" t="s">
        <v>31</v>
      </c>
      <c r="P107" t="s">
        <v>14</v>
      </c>
      <c r="Q107" s="9">
        <f t="shared" si="3"/>
        <v>0.2711370262390671</v>
      </c>
      <c r="R107" s="9">
        <f t="shared" si="4"/>
        <v>0.7288629737609329</v>
      </c>
      <c r="V107" t="str">
        <f t="shared" si="5"/>
        <v>Good Performance</v>
      </c>
    </row>
    <row r="108" spans="1:22" x14ac:dyDescent="0.25">
      <c r="A108" t="s">
        <v>10</v>
      </c>
      <c r="B108" t="s">
        <v>16</v>
      </c>
      <c r="C108" t="s">
        <v>38</v>
      </c>
      <c r="D108" t="s">
        <v>46</v>
      </c>
      <c r="E108">
        <v>2852</v>
      </c>
      <c r="F108">
        <v>3</v>
      </c>
      <c r="G108">
        <v>350</v>
      </c>
      <c r="H108">
        <v>998200</v>
      </c>
      <c r="I108">
        <v>19964</v>
      </c>
      <c r="J108">
        <v>978236</v>
      </c>
      <c r="K108">
        <v>741520</v>
      </c>
      <c r="L108">
        <v>236716</v>
      </c>
      <c r="M108" s="4">
        <v>41974</v>
      </c>
      <c r="N108">
        <v>12</v>
      </c>
      <c r="O108" t="s">
        <v>32</v>
      </c>
      <c r="P108" t="s">
        <v>15</v>
      </c>
      <c r="Q108" s="9">
        <f t="shared" si="3"/>
        <v>0.24198250728862974</v>
      </c>
      <c r="R108" s="9">
        <f t="shared" si="4"/>
        <v>0.75801749271137031</v>
      </c>
      <c r="V108" t="str">
        <f t="shared" si="5"/>
        <v>Good Performance</v>
      </c>
    </row>
    <row r="109" spans="1:22" x14ac:dyDescent="0.25">
      <c r="A109" t="s">
        <v>11</v>
      </c>
      <c r="B109" t="s">
        <v>17</v>
      </c>
      <c r="C109" t="s">
        <v>39</v>
      </c>
      <c r="D109" t="s">
        <v>46</v>
      </c>
      <c r="E109">
        <v>1142</v>
      </c>
      <c r="F109">
        <v>5</v>
      </c>
      <c r="G109">
        <v>12</v>
      </c>
      <c r="H109">
        <v>13704</v>
      </c>
      <c r="I109">
        <v>274.08</v>
      </c>
      <c r="J109">
        <v>13429.92</v>
      </c>
      <c r="K109">
        <v>3426</v>
      </c>
      <c r="L109">
        <v>10003.92</v>
      </c>
      <c r="M109" s="4">
        <v>41791</v>
      </c>
      <c r="N109">
        <v>6</v>
      </c>
      <c r="O109" t="s">
        <v>26</v>
      </c>
      <c r="P109" t="s">
        <v>15</v>
      </c>
      <c r="Q109" s="9">
        <f t="shared" si="3"/>
        <v>0.74489795918367352</v>
      </c>
      <c r="R109" s="9">
        <f t="shared" si="4"/>
        <v>0.25510204081632654</v>
      </c>
      <c r="V109" t="str">
        <f t="shared" si="5"/>
        <v>Good Performance</v>
      </c>
    </row>
    <row r="110" spans="1:22" x14ac:dyDescent="0.25">
      <c r="A110" t="s">
        <v>10</v>
      </c>
      <c r="B110" t="s">
        <v>17</v>
      </c>
      <c r="C110" t="s">
        <v>39</v>
      </c>
      <c r="D110" t="s">
        <v>46</v>
      </c>
      <c r="E110">
        <v>1566</v>
      </c>
      <c r="F110">
        <v>5</v>
      </c>
      <c r="G110">
        <v>20</v>
      </c>
      <c r="H110">
        <v>31320</v>
      </c>
      <c r="I110">
        <v>626.4</v>
      </c>
      <c r="J110">
        <v>30693.599999999999</v>
      </c>
      <c r="K110">
        <v>15660</v>
      </c>
      <c r="L110">
        <v>15033.599999999999</v>
      </c>
      <c r="M110" s="4">
        <v>41913</v>
      </c>
      <c r="N110">
        <v>10</v>
      </c>
      <c r="O110" t="s">
        <v>30</v>
      </c>
      <c r="P110" t="s">
        <v>15</v>
      </c>
      <c r="Q110" s="9">
        <f t="shared" si="3"/>
        <v>0.48979591836734693</v>
      </c>
      <c r="R110" s="9">
        <f t="shared" si="4"/>
        <v>0.51020408163265307</v>
      </c>
      <c r="V110" t="str">
        <f t="shared" si="5"/>
        <v>Good Performance</v>
      </c>
    </row>
    <row r="111" spans="1:22" x14ac:dyDescent="0.25">
      <c r="A111" t="s">
        <v>11</v>
      </c>
      <c r="B111" t="s">
        <v>20</v>
      </c>
      <c r="C111" t="s">
        <v>39</v>
      </c>
      <c r="D111" t="s">
        <v>46</v>
      </c>
      <c r="E111">
        <v>690</v>
      </c>
      <c r="F111">
        <v>5</v>
      </c>
      <c r="G111">
        <v>12</v>
      </c>
      <c r="H111">
        <v>8280</v>
      </c>
      <c r="I111">
        <v>165.6</v>
      </c>
      <c r="J111">
        <v>8114.4</v>
      </c>
      <c r="K111">
        <v>2070</v>
      </c>
      <c r="L111">
        <v>6044.4</v>
      </c>
      <c r="M111" s="4">
        <v>41944</v>
      </c>
      <c r="N111">
        <v>11</v>
      </c>
      <c r="O111" t="s">
        <v>31</v>
      </c>
      <c r="P111" t="s">
        <v>15</v>
      </c>
      <c r="Q111" s="9">
        <f t="shared" si="3"/>
        <v>0.74489795918367341</v>
      </c>
      <c r="R111" s="9">
        <f t="shared" si="4"/>
        <v>0.25510204081632654</v>
      </c>
      <c r="V111" t="str">
        <f t="shared" si="5"/>
        <v>Good Performance</v>
      </c>
    </row>
    <row r="112" spans="1:22" x14ac:dyDescent="0.25">
      <c r="A112" t="s">
        <v>9</v>
      </c>
      <c r="B112" t="s">
        <v>20</v>
      </c>
      <c r="C112" t="s">
        <v>39</v>
      </c>
      <c r="D112" t="s">
        <v>46</v>
      </c>
      <c r="E112">
        <v>1660</v>
      </c>
      <c r="F112">
        <v>5</v>
      </c>
      <c r="G112">
        <v>125</v>
      </c>
      <c r="H112">
        <v>207500</v>
      </c>
      <c r="I112">
        <v>4150</v>
      </c>
      <c r="J112">
        <v>203350</v>
      </c>
      <c r="K112">
        <v>199200</v>
      </c>
      <c r="L112">
        <v>4150</v>
      </c>
      <c r="M112" s="4">
        <v>41579</v>
      </c>
      <c r="N112">
        <v>11</v>
      </c>
      <c r="O112" t="s">
        <v>31</v>
      </c>
      <c r="P112" t="s">
        <v>14</v>
      </c>
      <c r="Q112" s="9">
        <f t="shared" si="3"/>
        <v>2.0408163265306121E-2</v>
      </c>
      <c r="R112" s="9">
        <f t="shared" si="4"/>
        <v>0.97959183673469385</v>
      </c>
      <c r="V112" t="str">
        <f t="shared" si="5"/>
        <v>Under Review</v>
      </c>
    </row>
    <row r="113" spans="1:22" x14ac:dyDescent="0.25">
      <c r="A113" t="s">
        <v>8</v>
      </c>
      <c r="B113" t="s">
        <v>16</v>
      </c>
      <c r="C113" t="s">
        <v>40</v>
      </c>
      <c r="D113" t="s">
        <v>46</v>
      </c>
      <c r="E113">
        <v>2363</v>
      </c>
      <c r="F113">
        <v>10</v>
      </c>
      <c r="G113">
        <v>15</v>
      </c>
      <c r="H113">
        <v>35445</v>
      </c>
      <c r="I113">
        <v>708.9</v>
      </c>
      <c r="J113">
        <v>34736.1</v>
      </c>
      <c r="K113">
        <v>23630</v>
      </c>
      <c r="L113">
        <v>11106.099999999999</v>
      </c>
      <c r="M113" s="4">
        <v>41671</v>
      </c>
      <c r="N113">
        <v>2</v>
      </c>
      <c r="O113" t="s">
        <v>22</v>
      </c>
      <c r="P113" t="s">
        <v>15</v>
      </c>
      <c r="Q113" s="9">
        <f t="shared" si="3"/>
        <v>0.31972789115646255</v>
      </c>
      <c r="R113" s="9">
        <f t="shared" si="4"/>
        <v>0.68027210884353739</v>
      </c>
      <c r="V113" t="str">
        <f t="shared" si="5"/>
        <v>Good Performance</v>
      </c>
    </row>
    <row r="114" spans="1:22" x14ac:dyDescent="0.25">
      <c r="A114" t="s">
        <v>7</v>
      </c>
      <c r="B114" t="s">
        <v>18</v>
      </c>
      <c r="C114" t="s">
        <v>40</v>
      </c>
      <c r="D114" t="s">
        <v>46</v>
      </c>
      <c r="E114">
        <v>918</v>
      </c>
      <c r="F114">
        <v>10</v>
      </c>
      <c r="G114">
        <v>300</v>
      </c>
      <c r="H114">
        <v>275400</v>
      </c>
      <c r="I114">
        <v>5508</v>
      </c>
      <c r="J114">
        <v>269892</v>
      </c>
      <c r="K114">
        <v>229500</v>
      </c>
      <c r="L114">
        <v>40392</v>
      </c>
      <c r="M114" s="4">
        <v>41760</v>
      </c>
      <c r="N114">
        <v>5</v>
      </c>
      <c r="O114" t="s">
        <v>25</v>
      </c>
      <c r="P114" t="s">
        <v>15</v>
      </c>
      <c r="Q114" s="9">
        <f t="shared" si="3"/>
        <v>0.14965986394557823</v>
      </c>
      <c r="R114" s="9">
        <f t="shared" si="4"/>
        <v>0.85034013605442171</v>
      </c>
      <c r="V114" t="str">
        <f t="shared" si="5"/>
        <v>Good Performance</v>
      </c>
    </row>
    <row r="115" spans="1:22" x14ac:dyDescent="0.25">
      <c r="A115" t="s">
        <v>7</v>
      </c>
      <c r="B115" t="s">
        <v>19</v>
      </c>
      <c r="C115" t="s">
        <v>40</v>
      </c>
      <c r="D115" t="s">
        <v>46</v>
      </c>
      <c r="E115">
        <v>1728</v>
      </c>
      <c r="F115">
        <v>10</v>
      </c>
      <c r="G115">
        <v>300</v>
      </c>
      <c r="H115">
        <v>518400</v>
      </c>
      <c r="I115">
        <v>10368</v>
      </c>
      <c r="J115">
        <v>508032</v>
      </c>
      <c r="K115">
        <v>432000</v>
      </c>
      <c r="L115">
        <v>76032</v>
      </c>
      <c r="M115" s="4">
        <v>41760</v>
      </c>
      <c r="N115">
        <v>5</v>
      </c>
      <c r="O115" t="s">
        <v>25</v>
      </c>
      <c r="P115" t="s">
        <v>15</v>
      </c>
      <c r="Q115" s="9">
        <f t="shared" si="3"/>
        <v>0.14965986394557823</v>
      </c>
      <c r="R115" s="9">
        <f t="shared" si="4"/>
        <v>0.85034013605442171</v>
      </c>
      <c r="V115" t="str">
        <f t="shared" si="5"/>
        <v>Good Performance</v>
      </c>
    </row>
    <row r="116" spans="1:22" x14ac:dyDescent="0.25">
      <c r="A116" t="s">
        <v>11</v>
      </c>
      <c r="B116" t="s">
        <v>17</v>
      </c>
      <c r="C116" t="s">
        <v>40</v>
      </c>
      <c r="D116" t="s">
        <v>46</v>
      </c>
      <c r="E116">
        <v>1142</v>
      </c>
      <c r="F116">
        <v>10</v>
      </c>
      <c r="G116">
        <v>12</v>
      </c>
      <c r="H116">
        <v>13704</v>
      </c>
      <c r="I116">
        <v>274.08</v>
      </c>
      <c r="J116">
        <v>13429.92</v>
      </c>
      <c r="K116">
        <v>3426</v>
      </c>
      <c r="L116">
        <v>10003.92</v>
      </c>
      <c r="M116" s="4">
        <v>41791</v>
      </c>
      <c r="N116">
        <v>6</v>
      </c>
      <c r="O116" t="s">
        <v>26</v>
      </c>
      <c r="P116" t="s">
        <v>15</v>
      </c>
      <c r="Q116" s="9">
        <f t="shared" si="3"/>
        <v>0.74489795918367352</v>
      </c>
      <c r="R116" s="9">
        <f t="shared" si="4"/>
        <v>0.25510204081632654</v>
      </c>
      <c r="V116" t="str">
        <f t="shared" si="5"/>
        <v>Good Performance</v>
      </c>
    </row>
    <row r="117" spans="1:22" x14ac:dyDescent="0.25">
      <c r="A117" t="s">
        <v>9</v>
      </c>
      <c r="B117" t="s">
        <v>20</v>
      </c>
      <c r="C117" t="s">
        <v>40</v>
      </c>
      <c r="D117" t="s">
        <v>46</v>
      </c>
      <c r="E117">
        <v>662</v>
      </c>
      <c r="F117">
        <v>10</v>
      </c>
      <c r="G117">
        <v>125</v>
      </c>
      <c r="H117">
        <v>82750</v>
      </c>
      <c r="I117">
        <v>1655</v>
      </c>
      <c r="J117">
        <v>81095</v>
      </c>
      <c r="K117">
        <v>79440</v>
      </c>
      <c r="L117">
        <v>1655</v>
      </c>
      <c r="M117" s="4">
        <v>41791</v>
      </c>
      <c r="N117">
        <v>6</v>
      </c>
      <c r="O117" t="s">
        <v>26</v>
      </c>
      <c r="P117" t="s">
        <v>15</v>
      </c>
      <c r="Q117" s="9">
        <f t="shared" si="3"/>
        <v>2.0408163265306121E-2</v>
      </c>
      <c r="R117" s="9">
        <f t="shared" si="4"/>
        <v>0.97959183673469385</v>
      </c>
      <c r="V117" t="str">
        <f t="shared" si="5"/>
        <v>Under Review</v>
      </c>
    </row>
    <row r="118" spans="1:22" x14ac:dyDescent="0.25">
      <c r="A118" t="s">
        <v>11</v>
      </c>
      <c r="B118" t="s">
        <v>16</v>
      </c>
      <c r="C118" t="s">
        <v>40</v>
      </c>
      <c r="D118" t="s">
        <v>46</v>
      </c>
      <c r="E118">
        <v>1295</v>
      </c>
      <c r="F118">
        <v>10</v>
      </c>
      <c r="G118">
        <v>12</v>
      </c>
      <c r="H118">
        <v>15540</v>
      </c>
      <c r="I118">
        <v>310.8</v>
      </c>
      <c r="J118">
        <v>15229.2</v>
      </c>
      <c r="K118">
        <v>3885</v>
      </c>
      <c r="L118">
        <v>11344.2</v>
      </c>
      <c r="M118" s="4">
        <v>41913</v>
      </c>
      <c r="N118">
        <v>10</v>
      </c>
      <c r="O118" t="s">
        <v>30</v>
      </c>
      <c r="P118" t="s">
        <v>15</v>
      </c>
      <c r="Q118" s="9">
        <f t="shared" si="3"/>
        <v>0.74489795918367352</v>
      </c>
      <c r="R118" s="9">
        <f t="shared" si="4"/>
        <v>0.25510204081632654</v>
      </c>
      <c r="V118" t="str">
        <f t="shared" si="5"/>
        <v>Good Performance</v>
      </c>
    </row>
    <row r="119" spans="1:22" x14ac:dyDescent="0.25">
      <c r="A119" t="s">
        <v>9</v>
      </c>
      <c r="B119" t="s">
        <v>19</v>
      </c>
      <c r="C119" t="s">
        <v>40</v>
      </c>
      <c r="D119" t="s">
        <v>46</v>
      </c>
      <c r="E119">
        <v>809</v>
      </c>
      <c r="F119">
        <v>10</v>
      </c>
      <c r="G119">
        <v>125</v>
      </c>
      <c r="H119">
        <v>101125</v>
      </c>
      <c r="I119">
        <v>2022.5</v>
      </c>
      <c r="J119">
        <v>99102.5</v>
      </c>
      <c r="K119">
        <v>97080</v>
      </c>
      <c r="L119">
        <v>2022.5</v>
      </c>
      <c r="M119" s="4">
        <v>41548</v>
      </c>
      <c r="N119">
        <v>10</v>
      </c>
      <c r="O119" t="s">
        <v>30</v>
      </c>
      <c r="P119" t="s">
        <v>14</v>
      </c>
      <c r="Q119" s="9">
        <f t="shared" si="3"/>
        <v>2.0408163265306121E-2</v>
      </c>
      <c r="R119" s="9">
        <f t="shared" si="4"/>
        <v>0.97959183673469385</v>
      </c>
      <c r="V119" t="str">
        <f t="shared" si="5"/>
        <v>Under Review</v>
      </c>
    </row>
    <row r="120" spans="1:22" x14ac:dyDescent="0.25">
      <c r="A120" t="s">
        <v>9</v>
      </c>
      <c r="B120" t="s">
        <v>20</v>
      </c>
      <c r="C120" t="s">
        <v>40</v>
      </c>
      <c r="D120" t="s">
        <v>46</v>
      </c>
      <c r="E120">
        <v>2145</v>
      </c>
      <c r="F120">
        <v>10</v>
      </c>
      <c r="G120">
        <v>125</v>
      </c>
      <c r="H120">
        <v>268125</v>
      </c>
      <c r="I120">
        <v>5362.5</v>
      </c>
      <c r="J120">
        <v>262762.5</v>
      </c>
      <c r="K120">
        <v>257400</v>
      </c>
      <c r="L120">
        <v>5362.5</v>
      </c>
      <c r="M120" s="4">
        <v>41548</v>
      </c>
      <c r="N120">
        <v>10</v>
      </c>
      <c r="O120" t="s">
        <v>30</v>
      </c>
      <c r="P120" t="s">
        <v>14</v>
      </c>
      <c r="Q120" s="9">
        <f t="shared" si="3"/>
        <v>2.0408163265306121E-2</v>
      </c>
      <c r="R120" s="9">
        <f t="shared" si="4"/>
        <v>0.97959183673469385</v>
      </c>
      <c r="V120" t="str">
        <f t="shared" si="5"/>
        <v>Under Review</v>
      </c>
    </row>
    <row r="121" spans="1:22" x14ac:dyDescent="0.25">
      <c r="A121" t="s">
        <v>11</v>
      </c>
      <c r="B121" t="s">
        <v>18</v>
      </c>
      <c r="C121" t="s">
        <v>40</v>
      </c>
      <c r="D121" t="s">
        <v>46</v>
      </c>
      <c r="E121">
        <v>1785</v>
      </c>
      <c r="F121">
        <v>10</v>
      </c>
      <c r="G121">
        <v>12</v>
      </c>
      <c r="H121">
        <v>21420</v>
      </c>
      <c r="I121">
        <v>428.4</v>
      </c>
      <c r="J121">
        <v>20991.599999999999</v>
      </c>
      <c r="K121">
        <v>5355</v>
      </c>
      <c r="L121">
        <v>15636.599999999999</v>
      </c>
      <c r="M121" s="4">
        <v>41579</v>
      </c>
      <c r="N121">
        <v>11</v>
      </c>
      <c r="O121" t="s">
        <v>31</v>
      </c>
      <c r="P121" t="s">
        <v>14</v>
      </c>
      <c r="Q121" s="9">
        <f t="shared" si="3"/>
        <v>0.74489795918367341</v>
      </c>
      <c r="R121" s="9">
        <f t="shared" si="4"/>
        <v>0.25510204081632654</v>
      </c>
      <c r="V121" t="str">
        <f t="shared" si="5"/>
        <v>Good Performance</v>
      </c>
    </row>
    <row r="122" spans="1:22" x14ac:dyDescent="0.25">
      <c r="A122" t="s">
        <v>7</v>
      </c>
      <c r="B122" t="s">
        <v>16</v>
      </c>
      <c r="C122" t="s">
        <v>40</v>
      </c>
      <c r="D122" t="s">
        <v>46</v>
      </c>
      <c r="E122">
        <v>1916</v>
      </c>
      <c r="F122">
        <v>10</v>
      </c>
      <c r="G122">
        <v>300</v>
      </c>
      <c r="H122">
        <v>574800</v>
      </c>
      <c r="I122">
        <v>11496</v>
      </c>
      <c r="J122">
        <v>563304</v>
      </c>
      <c r="K122">
        <v>479000</v>
      </c>
      <c r="L122">
        <v>84304</v>
      </c>
      <c r="M122" s="4">
        <v>41974</v>
      </c>
      <c r="N122">
        <v>12</v>
      </c>
      <c r="O122" t="s">
        <v>32</v>
      </c>
      <c r="P122" t="s">
        <v>15</v>
      </c>
      <c r="Q122" s="9">
        <f t="shared" si="3"/>
        <v>0.14965986394557823</v>
      </c>
      <c r="R122" s="9">
        <f t="shared" si="4"/>
        <v>0.85034013605442171</v>
      </c>
      <c r="V122" t="str">
        <f t="shared" si="5"/>
        <v>Good Performance</v>
      </c>
    </row>
    <row r="123" spans="1:22" x14ac:dyDescent="0.25">
      <c r="A123" t="s">
        <v>10</v>
      </c>
      <c r="B123" t="s">
        <v>16</v>
      </c>
      <c r="C123" t="s">
        <v>40</v>
      </c>
      <c r="D123" t="s">
        <v>46</v>
      </c>
      <c r="E123">
        <v>2852</v>
      </c>
      <c r="F123">
        <v>10</v>
      </c>
      <c r="G123">
        <v>350</v>
      </c>
      <c r="H123">
        <v>998200</v>
      </c>
      <c r="I123">
        <v>19964</v>
      </c>
      <c r="J123">
        <v>978236</v>
      </c>
      <c r="K123">
        <v>741520</v>
      </c>
      <c r="L123">
        <v>236716</v>
      </c>
      <c r="M123" s="4">
        <v>41974</v>
      </c>
      <c r="N123">
        <v>12</v>
      </c>
      <c r="O123" t="s">
        <v>32</v>
      </c>
      <c r="P123" t="s">
        <v>15</v>
      </c>
      <c r="Q123" s="9">
        <f t="shared" si="3"/>
        <v>0.24198250728862974</v>
      </c>
      <c r="R123" s="9">
        <f t="shared" si="4"/>
        <v>0.75801749271137031</v>
      </c>
      <c r="V123" t="str">
        <f t="shared" si="5"/>
        <v>Good Performance</v>
      </c>
    </row>
    <row r="124" spans="1:22" x14ac:dyDescent="0.25">
      <c r="A124" t="s">
        <v>9</v>
      </c>
      <c r="B124" t="s">
        <v>16</v>
      </c>
      <c r="C124" t="s">
        <v>40</v>
      </c>
      <c r="D124" t="s">
        <v>46</v>
      </c>
      <c r="E124">
        <v>2729</v>
      </c>
      <c r="F124">
        <v>10</v>
      </c>
      <c r="G124">
        <v>125</v>
      </c>
      <c r="H124">
        <v>341125</v>
      </c>
      <c r="I124">
        <v>6822.5</v>
      </c>
      <c r="J124">
        <v>334302.5</v>
      </c>
      <c r="K124">
        <v>327480</v>
      </c>
      <c r="L124">
        <v>6822.5</v>
      </c>
      <c r="M124" s="4">
        <v>41974</v>
      </c>
      <c r="N124">
        <v>12</v>
      </c>
      <c r="O124" t="s">
        <v>32</v>
      </c>
      <c r="P124" t="s">
        <v>15</v>
      </c>
      <c r="Q124" s="9">
        <f t="shared" si="3"/>
        <v>2.0408163265306121E-2</v>
      </c>
      <c r="R124" s="9">
        <f t="shared" si="4"/>
        <v>0.97959183673469385</v>
      </c>
      <c r="V124" t="str">
        <f t="shared" si="5"/>
        <v>Under Review</v>
      </c>
    </row>
    <row r="125" spans="1:22" x14ac:dyDescent="0.25">
      <c r="A125" t="s">
        <v>8</v>
      </c>
      <c r="B125" t="s">
        <v>17</v>
      </c>
      <c r="C125" t="s">
        <v>40</v>
      </c>
      <c r="D125" t="s">
        <v>46</v>
      </c>
      <c r="E125">
        <v>1925</v>
      </c>
      <c r="F125">
        <v>10</v>
      </c>
      <c r="G125">
        <v>15</v>
      </c>
      <c r="H125">
        <v>28875</v>
      </c>
      <c r="I125">
        <v>577.5</v>
      </c>
      <c r="J125">
        <v>28297.5</v>
      </c>
      <c r="K125">
        <v>19250</v>
      </c>
      <c r="L125">
        <v>9047.5</v>
      </c>
      <c r="M125" s="4">
        <v>41609</v>
      </c>
      <c r="N125">
        <v>12</v>
      </c>
      <c r="O125" t="s">
        <v>32</v>
      </c>
      <c r="P125" t="s">
        <v>14</v>
      </c>
      <c r="Q125" s="9">
        <f t="shared" si="3"/>
        <v>0.31972789115646261</v>
      </c>
      <c r="R125" s="9">
        <f t="shared" si="4"/>
        <v>0.68027210884353739</v>
      </c>
      <c r="V125" t="str">
        <f t="shared" si="5"/>
        <v>Good Performance</v>
      </c>
    </row>
    <row r="126" spans="1:22" x14ac:dyDescent="0.25">
      <c r="A126" t="s">
        <v>10</v>
      </c>
      <c r="B126" t="s">
        <v>17</v>
      </c>
      <c r="C126" t="s">
        <v>40</v>
      </c>
      <c r="D126" t="s">
        <v>46</v>
      </c>
      <c r="E126">
        <v>2013</v>
      </c>
      <c r="F126">
        <v>10</v>
      </c>
      <c r="G126">
        <v>7</v>
      </c>
      <c r="H126">
        <v>14091</v>
      </c>
      <c r="I126">
        <v>281.82</v>
      </c>
      <c r="J126">
        <v>13809.18</v>
      </c>
      <c r="K126">
        <v>10065</v>
      </c>
      <c r="L126">
        <v>3744.1800000000003</v>
      </c>
      <c r="M126" s="4">
        <v>41609</v>
      </c>
      <c r="N126">
        <v>12</v>
      </c>
      <c r="O126" t="s">
        <v>32</v>
      </c>
      <c r="P126" t="s">
        <v>14</v>
      </c>
      <c r="Q126" s="9">
        <f t="shared" si="3"/>
        <v>0.27113702623906705</v>
      </c>
      <c r="R126" s="9">
        <f t="shared" si="4"/>
        <v>0.7288629737609329</v>
      </c>
      <c r="V126" t="str">
        <f t="shared" si="5"/>
        <v>Good Performance</v>
      </c>
    </row>
    <row r="127" spans="1:22" x14ac:dyDescent="0.25">
      <c r="A127" t="s">
        <v>11</v>
      </c>
      <c r="B127" t="s">
        <v>18</v>
      </c>
      <c r="C127" t="s">
        <v>40</v>
      </c>
      <c r="D127" t="s">
        <v>46</v>
      </c>
      <c r="E127">
        <v>1055</v>
      </c>
      <c r="F127">
        <v>10</v>
      </c>
      <c r="G127">
        <v>12</v>
      </c>
      <c r="H127">
        <v>12660</v>
      </c>
      <c r="I127">
        <v>253.2</v>
      </c>
      <c r="J127">
        <v>12406.8</v>
      </c>
      <c r="K127">
        <v>3165</v>
      </c>
      <c r="L127">
        <v>9241.7999999999993</v>
      </c>
      <c r="M127" s="4">
        <v>41974</v>
      </c>
      <c r="N127">
        <v>12</v>
      </c>
      <c r="O127" t="s">
        <v>32</v>
      </c>
      <c r="P127" t="s">
        <v>15</v>
      </c>
      <c r="Q127" s="9">
        <f t="shared" si="3"/>
        <v>0.74489795918367341</v>
      </c>
      <c r="R127" s="9">
        <f t="shared" si="4"/>
        <v>0.25510204081632654</v>
      </c>
      <c r="V127" t="str">
        <f t="shared" si="5"/>
        <v>Good Performance</v>
      </c>
    </row>
    <row r="128" spans="1:22" x14ac:dyDescent="0.25">
      <c r="A128" t="s">
        <v>11</v>
      </c>
      <c r="B128" t="s">
        <v>20</v>
      </c>
      <c r="C128" t="s">
        <v>40</v>
      </c>
      <c r="D128" t="s">
        <v>46</v>
      </c>
      <c r="E128">
        <v>1084</v>
      </c>
      <c r="F128">
        <v>10</v>
      </c>
      <c r="G128">
        <v>12</v>
      </c>
      <c r="H128">
        <v>13008</v>
      </c>
      <c r="I128">
        <v>260.16000000000003</v>
      </c>
      <c r="J128">
        <v>12747.84</v>
      </c>
      <c r="K128">
        <v>3252</v>
      </c>
      <c r="L128">
        <v>9495.84</v>
      </c>
      <c r="M128" s="4">
        <v>41974</v>
      </c>
      <c r="N128">
        <v>12</v>
      </c>
      <c r="O128" t="s">
        <v>32</v>
      </c>
      <c r="P128" t="s">
        <v>15</v>
      </c>
      <c r="Q128" s="9">
        <f t="shared" si="3"/>
        <v>0.74489795918367352</v>
      </c>
      <c r="R128" s="9">
        <f t="shared" si="4"/>
        <v>0.25510204081632654</v>
      </c>
      <c r="V128" t="str">
        <f t="shared" si="5"/>
        <v>Good Performance</v>
      </c>
    </row>
    <row r="129" spans="1:22" x14ac:dyDescent="0.25">
      <c r="A129" t="s">
        <v>10</v>
      </c>
      <c r="B129" t="s">
        <v>17</v>
      </c>
      <c r="C129" t="s">
        <v>41</v>
      </c>
      <c r="D129" t="s">
        <v>46</v>
      </c>
      <c r="E129">
        <v>1566</v>
      </c>
      <c r="F129">
        <v>120</v>
      </c>
      <c r="G129">
        <v>20</v>
      </c>
      <c r="H129">
        <v>31320</v>
      </c>
      <c r="I129">
        <v>626.4</v>
      </c>
      <c r="J129">
        <v>30693.599999999999</v>
      </c>
      <c r="K129">
        <v>15660</v>
      </c>
      <c r="L129">
        <v>15033.599999999999</v>
      </c>
      <c r="M129" s="4">
        <v>41913</v>
      </c>
      <c r="N129">
        <v>10</v>
      </c>
      <c r="O129" t="s">
        <v>30</v>
      </c>
      <c r="P129" t="s">
        <v>15</v>
      </c>
      <c r="Q129" s="9">
        <f t="shared" si="3"/>
        <v>0.48979591836734693</v>
      </c>
      <c r="R129" s="9">
        <f t="shared" si="4"/>
        <v>0.51020408163265307</v>
      </c>
      <c r="V129" t="str">
        <f t="shared" si="5"/>
        <v>Good Performance</v>
      </c>
    </row>
    <row r="130" spans="1:22" x14ac:dyDescent="0.25">
      <c r="A130" t="s">
        <v>10</v>
      </c>
      <c r="B130" t="s">
        <v>19</v>
      </c>
      <c r="C130" t="s">
        <v>41</v>
      </c>
      <c r="D130" t="s">
        <v>46</v>
      </c>
      <c r="E130">
        <v>2966</v>
      </c>
      <c r="F130">
        <v>120</v>
      </c>
      <c r="G130">
        <v>350</v>
      </c>
      <c r="H130">
        <v>1038100</v>
      </c>
      <c r="I130">
        <v>20762</v>
      </c>
      <c r="J130">
        <v>1017338</v>
      </c>
      <c r="K130">
        <v>771160</v>
      </c>
      <c r="L130">
        <v>246178</v>
      </c>
      <c r="M130" s="4">
        <v>41548</v>
      </c>
      <c r="N130">
        <v>10</v>
      </c>
      <c r="O130" t="s">
        <v>30</v>
      </c>
      <c r="P130" t="s">
        <v>14</v>
      </c>
      <c r="Q130" s="9">
        <f t="shared" si="3"/>
        <v>0.24198250728862974</v>
      </c>
      <c r="R130" s="9">
        <f t="shared" si="4"/>
        <v>0.75801749271137031</v>
      </c>
      <c r="V130" t="str">
        <f t="shared" si="5"/>
        <v>Good Performance</v>
      </c>
    </row>
    <row r="131" spans="1:22" x14ac:dyDescent="0.25">
      <c r="A131" t="s">
        <v>10</v>
      </c>
      <c r="B131" t="s">
        <v>19</v>
      </c>
      <c r="C131" t="s">
        <v>41</v>
      </c>
      <c r="D131" t="s">
        <v>46</v>
      </c>
      <c r="E131">
        <v>2877</v>
      </c>
      <c r="F131">
        <v>120</v>
      </c>
      <c r="G131">
        <v>350</v>
      </c>
      <c r="H131">
        <v>1006950</v>
      </c>
      <c r="I131">
        <v>20139</v>
      </c>
      <c r="J131">
        <v>986811</v>
      </c>
      <c r="K131">
        <v>748020</v>
      </c>
      <c r="L131">
        <v>238791</v>
      </c>
      <c r="M131" s="4">
        <v>41913</v>
      </c>
      <c r="N131">
        <v>10</v>
      </c>
      <c r="O131" t="s">
        <v>30</v>
      </c>
      <c r="P131" t="s">
        <v>15</v>
      </c>
      <c r="Q131" s="9">
        <f t="shared" ref="Q131:Q194" si="6">L131/J131</f>
        <v>0.24198250728862974</v>
      </c>
      <c r="R131" s="9">
        <f t="shared" ref="R131:R194" si="7">K131/J131</f>
        <v>0.75801749271137031</v>
      </c>
      <c r="V131" t="str">
        <f t="shared" ref="V131:V194" si="8">IF(Q131&lt;0.1, "Under Review", "Good Performance")</f>
        <v>Good Performance</v>
      </c>
    </row>
    <row r="132" spans="1:22" x14ac:dyDescent="0.25">
      <c r="A132" t="s">
        <v>9</v>
      </c>
      <c r="B132" t="s">
        <v>19</v>
      </c>
      <c r="C132" t="s">
        <v>41</v>
      </c>
      <c r="D132" t="s">
        <v>46</v>
      </c>
      <c r="E132">
        <v>809</v>
      </c>
      <c r="F132">
        <v>120</v>
      </c>
      <c r="G132">
        <v>125</v>
      </c>
      <c r="H132">
        <v>101125</v>
      </c>
      <c r="I132">
        <v>2022.5</v>
      </c>
      <c r="J132">
        <v>99102.5</v>
      </c>
      <c r="K132">
        <v>97080</v>
      </c>
      <c r="L132">
        <v>2022.5</v>
      </c>
      <c r="M132" s="4">
        <v>41548</v>
      </c>
      <c r="N132">
        <v>10</v>
      </c>
      <c r="O132" t="s">
        <v>30</v>
      </c>
      <c r="P132" t="s">
        <v>14</v>
      </c>
      <c r="Q132" s="9">
        <f t="shared" si="6"/>
        <v>2.0408163265306121E-2</v>
      </c>
      <c r="R132" s="9">
        <f t="shared" si="7"/>
        <v>0.97959183673469385</v>
      </c>
      <c r="V132" t="str">
        <f t="shared" si="8"/>
        <v>Under Review</v>
      </c>
    </row>
    <row r="133" spans="1:22" x14ac:dyDescent="0.25">
      <c r="A133" t="s">
        <v>9</v>
      </c>
      <c r="B133" t="s">
        <v>20</v>
      </c>
      <c r="C133" t="s">
        <v>41</v>
      </c>
      <c r="D133" t="s">
        <v>46</v>
      </c>
      <c r="E133">
        <v>2145</v>
      </c>
      <c r="F133">
        <v>120</v>
      </c>
      <c r="G133">
        <v>125</v>
      </c>
      <c r="H133">
        <v>268125</v>
      </c>
      <c r="I133">
        <v>5362.5</v>
      </c>
      <c r="J133">
        <v>262762.5</v>
      </c>
      <c r="K133">
        <v>257400</v>
      </c>
      <c r="L133">
        <v>5362.5</v>
      </c>
      <c r="M133" s="4">
        <v>41548</v>
      </c>
      <c r="N133">
        <v>10</v>
      </c>
      <c r="O133" t="s">
        <v>30</v>
      </c>
      <c r="P133" t="s">
        <v>14</v>
      </c>
      <c r="Q133" s="9">
        <f t="shared" si="6"/>
        <v>2.0408163265306121E-2</v>
      </c>
      <c r="R133" s="9">
        <f t="shared" si="7"/>
        <v>0.97959183673469385</v>
      </c>
      <c r="V133" t="str">
        <f t="shared" si="8"/>
        <v>Under Review</v>
      </c>
    </row>
    <row r="134" spans="1:22" x14ac:dyDescent="0.25">
      <c r="A134" t="s">
        <v>11</v>
      </c>
      <c r="B134" t="s">
        <v>18</v>
      </c>
      <c r="C134" t="s">
        <v>41</v>
      </c>
      <c r="D134" t="s">
        <v>46</v>
      </c>
      <c r="E134">
        <v>1055</v>
      </c>
      <c r="F134">
        <v>120</v>
      </c>
      <c r="G134">
        <v>12</v>
      </c>
      <c r="H134">
        <v>12660</v>
      </c>
      <c r="I134">
        <v>253.2</v>
      </c>
      <c r="J134">
        <v>12406.8</v>
      </c>
      <c r="K134">
        <v>3165</v>
      </c>
      <c r="L134">
        <v>9241.7999999999993</v>
      </c>
      <c r="M134" s="4">
        <v>41974</v>
      </c>
      <c r="N134">
        <v>12</v>
      </c>
      <c r="O134" t="s">
        <v>32</v>
      </c>
      <c r="P134" t="s">
        <v>15</v>
      </c>
      <c r="Q134" s="9">
        <f t="shared" si="6"/>
        <v>0.74489795918367341</v>
      </c>
      <c r="R134" s="9">
        <f t="shared" si="7"/>
        <v>0.25510204081632654</v>
      </c>
      <c r="V134" t="str">
        <f t="shared" si="8"/>
        <v>Good Performance</v>
      </c>
    </row>
    <row r="135" spans="1:22" x14ac:dyDescent="0.25">
      <c r="A135" t="s">
        <v>10</v>
      </c>
      <c r="B135" t="s">
        <v>20</v>
      </c>
      <c r="C135" t="s">
        <v>41</v>
      </c>
      <c r="D135" t="s">
        <v>46</v>
      </c>
      <c r="E135">
        <v>544</v>
      </c>
      <c r="F135">
        <v>120</v>
      </c>
      <c r="G135">
        <v>20</v>
      </c>
      <c r="H135">
        <v>10880</v>
      </c>
      <c r="I135">
        <v>217.6</v>
      </c>
      <c r="J135">
        <v>10662.4</v>
      </c>
      <c r="K135">
        <v>5440</v>
      </c>
      <c r="L135">
        <v>5222.3999999999996</v>
      </c>
      <c r="M135" s="4">
        <v>41609</v>
      </c>
      <c r="N135">
        <v>12</v>
      </c>
      <c r="O135" t="s">
        <v>32</v>
      </c>
      <c r="P135" t="s">
        <v>14</v>
      </c>
      <c r="Q135" s="9">
        <f t="shared" si="6"/>
        <v>0.48979591836734693</v>
      </c>
      <c r="R135" s="9">
        <f t="shared" si="7"/>
        <v>0.51020408163265307</v>
      </c>
      <c r="V135" t="str">
        <f t="shared" si="8"/>
        <v>Good Performance</v>
      </c>
    </row>
    <row r="136" spans="1:22" x14ac:dyDescent="0.25">
      <c r="A136" t="s">
        <v>11</v>
      </c>
      <c r="B136" t="s">
        <v>20</v>
      </c>
      <c r="C136" t="s">
        <v>41</v>
      </c>
      <c r="D136" t="s">
        <v>46</v>
      </c>
      <c r="E136">
        <v>1084</v>
      </c>
      <c r="F136">
        <v>120</v>
      </c>
      <c r="G136">
        <v>12</v>
      </c>
      <c r="H136">
        <v>13008</v>
      </c>
      <c r="I136">
        <v>260.16000000000003</v>
      </c>
      <c r="J136">
        <v>12747.84</v>
      </c>
      <c r="K136">
        <v>3252</v>
      </c>
      <c r="L136">
        <v>9495.84</v>
      </c>
      <c r="M136" s="4">
        <v>41974</v>
      </c>
      <c r="N136">
        <v>12</v>
      </c>
      <c r="O136" t="s">
        <v>32</v>
      </c>
      <c r="P136" t="s">
        <v>15</v>
      </c>
      <c r="Q136" s="9">
        <f t="shared" si="6"/>
        <v>0.74489795918367352</v>
      </c>
      <c r="R136" s="9">
        <f t="shared" si="7"/>
        <v>0.25510204081632654</v>
      </c>
      <c r="V136" t="str">
        <f t="shared" si="8"/>
        <v>Good Performance</v>
      </c>
    </row>
    <row r="137" spans="1:22" x14ac:dyDescent="0.25">
      <c r="A137" t="s">
        <v>9</v>
      </c>
      <c r="B137" t="s">
        <v>20</v>
      </c>
      <c r="C137" t="s">
        <v>42</v>
      </c>
      <c r="D137" t="s">
        <v>46</v>
      </c>
      <c r="E137">
        <v>662</v>
      </c>
      <c r="F137">
        <v>250</v>
      </c>
      <c r="G137">
        <v>125</v>
      </c>
      <c r="H137">
        <v>82750</v>
      </c>
      <c r="I137">
        <v>1655</v>
      </c>
      <c r="J137">
        <v>81095</v>
      </c>
      <c r="K137">
        <v>79440</v>
      </c>
      <c r="L137">
        <v>1655</v>
      </c>
      <c r="M137" s="4">
        <v>41791</v>
      </c>
      <c r="N137">
        <v>6</v>
      </c>
      <c r="O137" t="s">
        <v>26</v>
      </c>
      <c r="P137" t="s">
        <v>15</v>
      </c>
      <c r="Q137" s="9">
        <f t="shared" si="6"/>
        <v>2.0408163265306121E-2</v>
      </c>
      <c r="R137" s="9">
        <f t="shared" si="7"/>
        <v>0.97959183673469385</v>
      </c>
      <c r="V137" t="str">
        <f t="shared" si="8"/>
        <v>Under Review</v>
      </c>
    </row>
    <row r="138" spans="1:22" x14ac:dyDescent="0.25">
      <c r="A138" t="s">
        <v>7</v>
      </c>
      <c r="B138" t="s">
        <v>19</v>
      </c>
      <c r="C138" t="s">
        <v>42</v>
      </c>
      <c r="D138" t="s">
        <v>46</v>
      </c>
      <c r="E138">
        <v>214</v>
      </c>
      <c r="F138">
        <v>250</v>
      </c>
      <c r="G138">
        <v>300</v>
      </c>
      <c r="H138">
        <v>64200</v>
      </c>
      <c r="I138">
        <v>1284</v>
      </c>
      <c r="J138">
        <v>62916</v>
      </c>
      <c r="K138">
        <v>53500</v>
      </c>
      <c r="L138">
        <v>9416</v>
      </c>
      <c r="M138" s="4">
        <v>41548</v>
      </c>
      <c r="N138">
        <v>10</v>
      </c>
      <c r="O138" t="s">
        <v>30</v>
      </c>
      <c r="P138" t="s">
        <v>14</v>
      </c>
      <c r="Q138" s="9">
        <f t="shared" si="6"/>
        <v>0.14965986394557823</v>
      </c>
      <c r="R138" s="9">
        <f t="shared" si="7"/>
        <v>0.85034013605442171</v>
      </c>
      <c r="V138" t="str">
        <f t="shared" si="8"/>
        <v>Good Performance</v>
      </c>
    </row>
    <row r="139" spans="1:22" x14ac:dyDescent="0.25">
      <c r="A139" t="s">
        <v>10</v>
      </c>
      <c r="B139" t="s">
        <v>19</v>
      </c>
      <c r="C139" t="s">
        <v>42</v>
      </c>
      <c r="D139" t="s">
        <v>46</v>
      </c>
      <c r="E139">
        <v>2877</v>
      </c>
      <c r="F139">
        <v>250</v>
      </c>
      <c r="G139">
        <v>350</v>
      </c>
      <c r="H139">
        <v>1006950</v>
      </c>
      <c r="I139">
        <v>20139</v>
      </c>
      <c r="J139">
        <v>986811</v>
      </c>
      <c r="K139">
        <v>748020</v>
      </c>
      <c r="L139">
        <v>238791</v>
      </c>
      <c r="M139" s="4">
        <v>41913</v>
      </c>
      <c r="N139">
        <v>10</v>
      </c>
      <c r="O139" t="s">
        <v>30</v>
      </c>
      <c r="P139" t="s">
        <v>15</v>
      </c>
      <c r="Q139" s="9">
        <f t="shared" si="6"/>
        <v>0.24198250728862974</v>
      </c>
      <c r="R139" s="9">
        <f t="shared" si="7"/>
        <v>0.75801749271137031</v>
      </c>
      <c r="V139" t="str">
        <f t="shared" si="8"/>
        <v>Good Performance</v>
      </c>
    </row>
    <row r="140" spans="1:22" x14ac:dyDescent="0.25">
      <c r="A140" t="s">
        <v>9</v>
      </c>
      <c r="B140" t="s">
        <v>16</v>
      </c>
      <c r="C140" t="s">
        <v>42</v>
      </c>
      <c r="D140" t="s">
        <v>46</v>
      </c>
      <c r="E140">
        <v>2729</v>
      </c>
      <c r="F140">
        <v>250</v>
      </c>
      <c r="G140">
        <v>125</v>
      </c>
      <c r="H140">
        <v>341125</v>
      </c>
      <c r="I140">
        <v>6822.5</v>
      </c>
      <c r="J140">
        <v>334302.5</v>
      </c>
      <c r="K140">
        <v>327480</v>
      </c>
      <c r="L140">
        <v>6822.5</v>
      </c>
      <c r="M140" s="4">
        <v>41974</v>
      </c>
      <c r="N140">
        <v>12</v>
      </c>
      <c r="O140" t="s">
        <v>32</v>
      </c>
      <c r="P140" t="s">
        <v>15</v>
      </c>
      <c r="Q140" s="9">
        <f t="shared" si="6"/>
        <v>2.0408163265306121E-2</v>
      </c>
      <c r="R140" s="9">
        <f t="shared" si="7"/>
        <v>0.97959183673469385</v>
      </c>
      <c r="V140" t="str">
        <f t="shared" si="8"/>
        <v>Under Review</v>
      </c>
    </row>
    <row r="141" spans="1:22" x14ac:dyDescent="0.25">
      <c r="A141" t="s">
        <v>10</v>
      </c>
      <c r="B141" t="s">
        <v>17</v>
      </c>
      <c r="C141" t="s">
        <v>42</v>
      </c>
      <c r="D141" t="s">
        <v>46</v>
      </c>
      <c r="E141">
        <v>266</v>
      </c>
      <c r="F141">
        <v>250</v>
      </c>
      <c r="G141">
        <v>350</v>
      </c>
      <c r="H141">
        <v>93100</v>
      </c>
      <c r="I141">
        <v>1862</v>
      </c>
      <c r="J141">
        <v>91238</v>
      </c>
      <c r="K141">
        <v>69160</v>
      </c>
      <c r="L141">
        <v>22078</v>
      </c>
      <c r="M141" s="4">
        <v>41609</v>
      </c>
      <c r="N141">
        <v>12</v>
      </c>
      <c r="O141" t="s">
        <v>32</v>
      </c>
      <c r="P141" t="s">
        <v>14</v>
      </c>
      <c r="Q141" s="9">
        <f t="shared" si="6"/>
        <v>0.24198250728862974</v>
      </c>
      <c r="R141" s="9">
        <f t="shared" si="7"/>
        <v>0.75801749271137031</v>
      </c>
      <c r="V141" t="str">
        <f t="shared" si="8"/>
        <v>Good Performance</v>
      </c>
    </row>
    <row r="142" spans="1:22" x14ac:dyDescent="0.25">
      <c r="A142" t="s">
        <v>10</v>
      </c>
      <c r="B142" t="s">
        <v>20</v>
      </c>
      <c r="C142" t="s">
        <v>42</v>
      </c>
      <c r="D142" t="s">
        <v>46</v>
      </c>
      <c r="E142">
        <v>1940</v>
      </c>
      <c r="F142">
        <v>250</v>
      </c>
      <c r="G142">
        <v>350</v>
      </c>
      <c r="H142">
        <v>679000</v>
      </c>
      <c r="I142">
        <v>13580</v>
      </c>
      <c r="J142">
        <v>665420</v>
      </c>
      <c r="K142">
        <v>504400</v>
      </c>
      <c r="L142">
        <v>161020</v>
      </c>
      <c r="M142" s="4">
        <v>41609</v>
      </c>
      <c r="N142">
        <v>12</v>
      </c>
      <c r="O142" t="s">
        <v>32</v>
      </c>
      <c r="P142" t="s">
        <v>14</v>
      </c>
      <c r="Q142" s="9">
        <f t="shared" si="6"/>
        <v>0.24198250728862974</v>
      </c>
      <c r="R142" s="9">
        <f t="shared" si="7"/>
        <v>0.75801749271137031</v>
      </c>
      <c r="V142" t="str">
        <f t="shared" si="8"/>
        <v>Good Performance</v>
      </c>
    </row>
    <row r="143" spans="1:22" x14ac:dyDescent="0.25">
      <c r="A143" t="s">
        <v>7</v>
      </c>
      <c r="B143" t="s">
        <v>19</v>
      </c>
      <c r="C143" t="s">
        <v>43</v>
      </c>
      <c r="D143" t="s">
        <v>46</v>
      </c>
      <c r="E143">
        <v>259</v>
      </c>
      <c r="F143">
        <v>260</v>
      </c>
      <c r="G143">
        <v>300</v>
      </c>
      <c r="H143">
        <v>77700</v>
      </c>
      <c r="I143">
        <v>1554</v>
      </c>
      <c r="J143">
        <v>76146</v>
      </c>
      <c r="K143">
        <v>64750</v>
      </c>
      <c r="L143">
        <v>11396</v>
      </c>
      <c r="M143" s="4">
        <v>41699</v>
      </c>
      <c r="N143">
        <v>3</v>
      </c>
      <c r="O143" t="s">
        <v>23</v>
      </c>
      <c r="P143" t="s">
        <v>15</v>
      </c>
      <c r="Q143" s="9">
        <f t="shared" si="6"/>
        <v>0.14965986394557823</v>
      </c>
      <c r="R143" s="9">
        <f t="shared" si="7"/>
        <v>0.85034013605442171</v>
      </c>
      <c r="V143" t="str">
        <f t="shared" si="8"/>
        <v>Good Performance</v>
      </c>
    </row>
    <row r="144" spans="1:22" x14ac:dyDescent="0.25">
      <c r="A144" t="s">
        <v>7</v>
      </c>
      <c r="B144" t="s">
        <v>20</v>
      </c>
      <c r="C144" t="s">
        <v>43</v>
      </c>
      <c r="D144" t="s">
        <v>46</v>
      </c>
      <c r="E144">
        <v>1101</v>
      </c>
      <c r="F144">
        <v>260</v>
      </c>
      <c r="G144">
        <v>300</v>
      </c>
      <c r="H144">
        <v>330300</v>
      </c>
      <c r="I144">
        <v>6606</v>
      </c>
      <c r="J144">
        <v>323694</v>
      </c>
      <c r="K144">
        <v>275250</v>
      </c>
      <c r="L144">
        <v>48444</v>
      </c>
      <c r="M144" s="4">
        <v>41699</v>
      </c>
      <c r="N144">
        <v>3</v>
      </c>
      <c r="O144" t="s">
        <v>23</v>
      </c>
      <c r="P144" t="s">
        <v>15</v>
      </c>
      <c r="Q144" s="9">
        <f t="shared" si="6"/>
        <v>0.14965986394557823</v>
      </c>
      <c r="R144" s="9">
        <f t="shared" si="7"/>
        <v>0.85034013605442171</v>
      </c>
      <c r="V144" t="str">
        <f t="shared" si="8"/>
        <v>Good Performance</v>
      </c>
    </row>
    <row r="145" spans="1:22" x14ac:dyDescent="0.25">
      <c r="A145" t="s">
        <v>9</v>
      </c>
      <c r="B145" t="s">
        <v>19</v>
      </c>
      <c r="C145" t="s">
        <v>43</v>
      </c>
      <c r="D145" t="s">
        <v>46</v>
      </c>
      <c r="E145">
        <v>2276</v>
      </c>
      <c r="F145">
        <v>260</v>
      </c>
      <c r="G145">
        <v>125</v>
      </c>
      <c r="H145">
        <v>284500</v>
      </c>
      <c r="I145">
        <v>5690</v>
      </c>
      <c r="J145">
        <v>278810</v>
      </c>
      <c r="K145">
        <v>273120</v>
      </c>
      <c r="L145">
        <v>5690</v>
      </c>
      <c r="M145" s="4">
        <v>41760</v>
      </c>
      <c r="N145">
        <v>5</v>
      </c>
      <c r="O145" t="s">
        <v>25</v>
      </c>
      <c r="P145" t="s">
        <v>15</v>
      </c>
      <c r="Q145" s="9">
        <f t="shared" si="6"/>
        <v>2.0408163265306121E-2</v>
      </c>
      <c r="R145" s="9">
        <f t="shared" si="7"/>
        <v>0.97959183673469385</v>
      </c>
      <c r="V145" t="str">
        <f t="shared" si="8"/>
        <v>Under Review</v>
      </c>
    </row>
    <row r="146" spans="1:22" x14ac:dyDescent="0.25">
      <c r="A146" t="s">
        <v>10</v>
      </c>
      <c r="B146" t="s">
        <v>19</v>
      </c>
      <c r="C146" t="s">
        <v>43</v>
      </c>
      <c r="D146" t="s">
        <v>46</v>
      </c>
      <c r="E146">
        <v>2966</v>
      </c>
      <c r="F146">
        <v>260</v>
      </c>
      <c r="G146">
        <v>350</v>
      </c>
      <c r="H146">
        <v>1038100</v>
      </c>
      <c r="I146">
        <v>20762</v>
      </c>
      <c r="J146">
        <v>1017338</v>
      </c>
      <c r="K146">
        <v>771160</v>
      </c>
      <c r="L146">
        <v>246178</v>
      </c>
      <c r="M146" s="4">
        <v>41548</v>
      </c>
      <c r="N146">
        <v>10</v>
      </c>
      <c r="O146" t="s">
        <v>30</v>
      </c>
      <c r="P146" t="s">
        <v>14</v>
      </c>
      <c r="Q146" s="9">
        <f t="shared" si="6"/>
        <v>0.24198250728862974</v>
      </c>
      <c r="R146" s="9">
        <f t="shared" si="7"/>
        <v>0.75801749271137031</v>
      </c>
      <c r="V146" t="str">
        <f t="shared" si="8"/>
        <v>Good Performance</v>
      </c>
    </row>
    <row r="147" spans="1:22" x14ac:dyDescent="0.25">
      <c r="A147" t="s">
        <v>10</v>
      </c>
      <c r="B147" t="s">
        <v>17</v>
      </c>
      <c r="C147" t="s">
        <v>43</v>
      </c>
      <c r="D147" t="s">
        <v>46</v>
      </c>
      <c r="E147">
        <v>1236</v>
      </c>
      <c r="F147">
        <v>260</v>
      </c>
      <c r="G147">
        <v>20</v>
      </c>
      <c r="H147">
        <v>24720</v>
      </c>
      <c r="I147">
        <v>494.4</v>
      </c>
      <c r="J147">
        <v>24225.599999999999</v>
      </c>
      <c r="K147">
        <v>12360</v>
      </c>
      <c r="L147">
        <v>11865.599999999999</v>
      </c>
      <c r="M147" s="4">
        <v>41944</v>
      </c>
      <c r="N147">
        <v>11</v>
      </c>
      <c r="O147" t="s">
        <v>31</v>
      </c>
      <c r="P147" t="s">
        <v>15</v>
      </c>
      <c r="Q147" s="9">
        <f t="shared" si="6"/>
        <v>0.48979591836734693</v>
      </c>
      <c r="R147" s="9">
        <f t="shared" si="7"/>
        <v>0.51020408163265307</v>
      </c>
      <c r="V147" t="str">
        <f t="shared" si="8"/>
        <v>Good Performance</v>
      </c>
    </row>
    <row r="148" spans="1:22" x14ac:dyDescent="0.25">
      <c r="A148" t="s">
        <v>10</v>
      </c>
      <c r="B148" t="s">
        <v>18</v>
      </c>
      <c r="C148" t="s">
        <v>43</v>
      </c>
      <c r="D148" t="s">
        <v>46</v>
      </c>
      <c r="E148">
        <v>941</v>
      </c>
      <c r="F148">
        <v>260</v>
      </c>
      <c r="G148">
        <v>20</v>
      </c>
      <c r="H148">
        <v>18820</v>
      </c>
      <c r="I148">
        <v>376.4</v>
      </c>
      <c r="J148">
        <v>18443.599999999999</v>
      </c>
      <c r="K148">
        <v>9410</v>
      </c>
      <c r="L148">
        <v>9033.5999999999985</v>
      </c>
      <c r="M148" s="4">
        <v>41944</v>
      </c>
      <c r="N148">
        <v>11</v>
      </c>
      <c r="O148" t="s">
        <v>31</v>
      </c>
      <c r="P148" t="s">
        <v>15</v>
      </c>
      <c r="Q148" s="9">
        <f t="shared" si="6"/>
        <v>0.48979591836734687</v>
      </c>
      <c r="R148" s="9">
        <f t="shared" si="7"/>
        <v>0.51020408163265307</v>
      </c>
      <c r="V148" t="str">
        <f t="shared" si="8"/>
        <v>Good Performance</v>
      </c>
    </row>
    <row r="149" spans="1:22" x14ac:dyDescent="0.25">
      <c r="A149" t="s">
        <v>7</v>
      </c>
      <c r="B149" t="s">
        <v>16</v>
      </c>
      <c r="C149" t="s">
        <v>43</v>
      </c>
      <c r="D149" t="s">
        <v>46</v>
      </c>
      <c r="E149">
        <v>1916</v>
      </c>
      <c r="F149">
        <v>260</v>
      </c>
      <c r="G149">
        <v>300</v>
      </c>
      <c r="H149">
        <v>574800</v>
      </c>
      <c r="I149">
        <v>11496</v>
      </c>
      <c r="J149">
        <v>563304</v>
      </c>
      <c r="K149">
        <v>479000</v>
      </c>
      <c r="L149">
        <v>84304</v>
      </c>
      <c r="M149" s="4">
        <v>41974</v>
      </c>
      <c r="N149">
        <v>12</v>
      </c>
      <c r="O149" t="s">
        <v>32</v>
      </c>
      <c r="P149" t="s">
        <v>15</v>
      </c>
      <c r="Q149" s="9">
        <f t="shared" si="6"/>
        <v>0.14965986394557823</v>
      </c>
      <c r="R149" s="9">
        <f t="shared" si="7"/>
        <v>0.85034013605442171</v>
      </c>
      <c r="V149" t="str">
        <f t="shared" si="8"/>
        <v>Good Performance</v>
      </c>
    </row>
    <row r="150" spans="1:22" x14ac:dyDescent="0.25">
      <c r="A150" t="s">
        <v>9</v>
      </c>
      <c r="B150" t="s">
        <v>18</v>
      </c>
      <c r="C150" t="s">
        <v>38</v>
      </c>
      <c r="D150" t="s">
        <v>46</v>
      </c>
      <c r="E150">
        <v>4243.5</v>
      </c>
      <c r="F150">
        <v>3</v>
      </c>
      <c r="G150">
        <v>125</v>
      </c>
      <c r="H150">
        <v>530437.5</v>
      </c>
      <c r="I150">
        <v>15913.125</v>
      </c>
      <c r="J150">
        <v>514524.375</v>
      </c>
      <c r="K150">
        <v>509220</v>
      </c>
      <c r="L150">
        <v>5304.375</v>
      </c>
      <c r="M150" s="4">
        <v>41730</v>
      </c>
      <c r="N150">
        <v>4</v>
      </c>
      <c r="O150" t="s">
        <v>24</v>
      </c>
      <c r="P150" t="s">
        <v>15</v>
      </c>
      <c r="Q150" s="9">
        <f t="shared" si="6"/>
        <v>1.0309278350515464E-2</v>
      </c>
      <c r="R150" s="9">
        <f t="shared" si="7"/>
        <v>0.98969072164948457</v>
      </c>
      <c r="V150" t="str">
        <f t="shared" si="8"/>
        <v>Under Review</v>
      </c>
    </row>
    <row r="151" spans="1:22" x14ac:dyDescent="0.25">
      <c r="A151" t="s">
        <v>10</v>
      </c>
      <c r="B151" t="s">
        <v>19</v>
      </c>
      <c r="C151" t="s">
        <v>38</v>
      </c>
      <c r="D151" t="s">
        <v>46</v>
      </c>
      <c r="E151">
        <v>2580</v>
      </c>
      <c r="F151">
        <v>3</v>
      </c>
      <c r="G151">
        <v>20</v>
      </c>
      <c r="H151">
        <v>51600</v>
      </c>
      <c r="I151">
        <v>1548</v>
      </c>
      <c r="J151">
        <v>50052</v>
      </c>
      <c r="K151">
        <v>25800</v>
      </c>
      <c r="L151">
        <v>24252</v>
      </c>
      <c r="M151" s="4">
        <v>41730</v>
      </c>
      <c r="N151">
        <v>4</v>
      </c>
      <c r="O151" t="s">
        <v>24</v>
      </c>
      <c r="P151" t="s">
        <v>15</v>
      </c>
      <c r="Q151" s="9">
        <f t="shared" si="6"/>
        <v>0.4845360824742268</v>
      </c>
      <c r="R151" s="9">
        <f t="shared" si="7"/>
        <v>0.51546391752577314</v>
      </c>
      <c r="V151" t="str">
        <f t="shared" si="8"/>
        <v>Good Performance</v>
      </c>
    </row>
    <row r="152" spans="1:22" x14ac:dyDescent="0.25">
      <c r="A152" t="s">
        <v>7</v>
      </c>
      <c r="B152" t="s">
        <v>19</v>
      </c>
      <c r="C152" t="s">
        <v>38</v>
      </c>
      <c r="D152" t="s">
        <v>46</v>
      </c>
      <c r="E152">
        <v>689</v>
      </c>
      <c r="F152">
        <v>3</v>
      </c>
      <c r="G152">
        <v>300</v>
      </c>
      <c r="H152">
        <v>206700</v>
      </c>
      <c r="I152">
        <v>6201</v>
      </c>
      <c r="J152">
        <v>200499</v>
      </c>
      <c r="K152">
        <v>172250</v>
      </c>
      <c r="L152">
        <v>28249</v>
      </c>
      <c r="M152" s="4">
        <v>41791</v>
      </c>
      <c r="N152">
        <v>6</v>
      </c>
      <c r="O152" t="s">
        <v>26</v>
      </c>
      <c r="P152" t="s">
        <v>15</v>
      </c>
      <c r="Q152" s="9">
        <f t="shared" si="6"/>
        <v>0.14089347079037801</v>
      </c>
      <c r="R152" s="9">
        <f t="shared" si="7"/>
        <v>0.85910652920962194</v>
      </c>
      <c r="V152" t="str">
        <f t="shared" si="8"/>
        <v>Good Performance</v>
      </c>
    </row>
    <row r="153" spans="1:22" x14ac:dyDescent="0.25">
      <c r="A153" t="s">
        <v>11</v>
      </c>
      <c r="B153" t="s">
        <v>17</v>
      </c>
      <c r="C153" t="s">
        <v>38</v>
      </c>
      <c r="D153" t="s">
        <v>46</v>
      </c>
      <c r="E153">
        <v>1947</v>
      </c>
      <c r="F153">
        <v>3</v>
      </c>
      <c r="G153">
        <v>12</v>
      </c>
      <c r="H153">
        <v>23364</v>
      </c>
      <c r="I153">
        <v>700.92</v>
      </c>
      <c r="J153">
        <v>22663.08</v>
      </c>
      <c r="K153">
        <v>5841</v>
      </c>
      <c r="L153">
        <v>16822.080000000002</v>
      </c>
      <c r="M153" s="4">
        <v>41883</v>
      </c>
      <c r="N153">
        <v>9</v>
      </c>
      <c r="O153" t="s">
        <v>29</v>
      </c>
      <c r="P153" t="s">
        <v>15</v>
      </c>
      <c r="Q153" s="9">
        <f t="shared" si="6"/>
        <v>0.74226804123711343</v>
      </c>
      <c r="R153" s="9">
        <f t="shared" si="7"/>
        <v>0.25773195876288657</v>
      </c>
      <c r="V153" t="str">
        <f t="shared" si="8"/>
        <v>Good Performance</v>
      </c>
    </row>
    <row r="154" spans="1:22" x14ac:dyDescent="0.25">
      <c r="A154" t="s">
        <v>11</v>
      </c>
      <c r="B154" t="s">
        <v>16</v>
      </c>
      <c r="C154" t="s">
        <v>38</v>
      </c>
      <c r="D154" t="s">
        <v>46</v>
      </c>
      <c r="E154">
        <v>908</v>
      </c>
      <c r="F154">
        <v>3</v>
      </c>
      <c r="G154">
        <v>12</v>
      </c>
      <c r="H154">
        <v>10896</v>
      </c>
      <c r="I154">
        <v>326.88</v>
      </c>
      <c r="J154">
        <v>10569.12</v>
      </c>
      <c r="K154">
        <v>2724</v>
      </c>
      <c r="L154">
        <v>7845.1200000000008</v>
      </c>
      <c r="M154" s="4">
        <v>41609</v>
      </c>
      <c r="N154">
        <v>12</v>
      </c>
      <c r="O154" t="s">
        <v>32</v>
      </c>
      <c r="P154" t="s">
        <v>14</v>
      </c>
      <c r="Q154" s="9">
        <f t="shared" si="6"/>
        <v>0.74226804123711343</v>
      </c>
      <c r="R154" s="9">
        <f t="shared" si="7"/>
        <v>0.25773195876288657</v>
      </c>
      <c r="V154" t="str">
        <f t="shared" si="8"/>
        <v>Good Performance</v>
      </c>
    </row>
    <row r="155" spans="1:22" x14ac:dyDescent="0.25">
      <c r="A155" t="s">
        <v>10</v>
      </c>
      <c r="B155" t="s">
        <v>19</v>
      </c>
      <c r="C155" t="s">
        <v>39</v>
      </c>
      <c r="D155" t="s">
        <v>46</v>
      </c>
      <c r="E155">
        <v>1958</v>
      </c>
      <c r="F155">
        <v>5</v>
      </c>
      <c r="G155">
        <v>7</v>
      </c>
      <c r="H155">
        <v>13706</v>
      </c>
      <c r="I155">
        <v>411.18</v>
      </c>
      <c r="J155">
        <v>13294.82</v>
      </c>
      <c r="K155">
        <v>9790</v>
      </c>
      <c r="L155">
        <v>3504.8199999999997</v>
      </c>
      <c r="M155" s="4">
        <v>41671</v>
      </c>
      <c r="N155">
        <v>2</v>
      </c>
      <c r="O155" t="s">
        <v>22</v>
      </c>
      <c r="P155" t="s">
        <v>15</v>
      </c>
      <c r="Q155" s="9">
        <f t="shared" si="6"/>
        <v>0.26362297496318116</v>
      </c>
      <c r="R155" s="9">
        <f t="shared" si="7"/>
        <v>0.7363770250368189</v>
      </c>
      <c r="V155" t="str">
        <f t="shared" si="8"/>
        <v>Good Performance</v>
      </c>
    </row>
    <row r="156" spans="1:22" x14ac:dyDescent="0.25">
      <c r="A156" t="s">
        <v>11</v>
      </c>
      <c r="B156" t="s">
        <v>18</v>
      </c>
      <c r="C156" t="s">
        <v>39</v>
      </c>
      <c r="D156" t="s">
        <v>46</v>
      </c>
      <c r="E156">
        <v>1901</v>
      </c>
      <c r="F156">
        <v>5</v>
      </c>
      <c r="G156">
        <v>12</v>
      </c>
      <c r="H156">
        <v>22812</v>
      </c>
      <c r="I156">
        <v>684.36</v>
      </c>
      <c r="J156">
        <v>22127.64</v>
      </c>
      <c r="K156">
        <v>5703</v>
      </c>
      <c r="L156">
        <v>16424.64</v>
      </c>
      <c r="M156" s="4">
        <v>41791</v>
      </c>
      <c r="N156">
        <v>6</v>
      </c>
      <c r="O156" t="s">
        <v>26</v>
      </c>
      <c r="P156" t="s">
        <v>15</v>
      </c>
      <c r="Q156" s="9">
        <f t="shared" si="6"/>
        <v>0.74226804123711343</v>
      </c>
      <c r="R156" s="9">
        <f t="shared" si="7"/>
        <v>0.25773195876288663</v>
      </c>
      <c r="V156" t="str">
        <f t="shared" si="8"/>
        <v>Good Performance</v>
      </c>
    </row>
    <row r="157" spans="1:22" x14ac:dyDescent="0.25">
      <c r="A157" t="s">
        <v>10</v>
      </c>
      <c r="B157" t="s">
        <v>18</v>
      </c>
      <c r="C157" t="s">
        <v>39</v>
      </c>
      <c r="D157" t="s">
        <v>46</v>
      </c>
      <c r="E157">
        <v>544</v>
      </c>
      <c r="F157">
        <v>5</v>
      </c>
      <c r="G157">
        <v>7</v>
      </c>
      <c r="H157">
        <v>3808</v>
      </c>
      <c r="I157">
        <v>114.24</v>
      </c>
      <c r="J157">
        <v>3693.76</v>
      </c>
      <c r="K157">
        <v>2720</v>
      </c>
      <c r="L157">
        <v>973.76000000000022</v>
      </c>
      <c r="M157" s="4">
        <v>41883</v>
      </c>
      <c r="N157">
        <v>9</v>
      </c>
      <c r="O157" t="s">
        <v>29</v>
      </c>
      <c r="P157" t="s">
        <v>15</v>
      </c>
      <c r="Q157" s="9">
        <f t="shared" si="6"/>
        <v>0.26362297496318121</v>
      </c>
      <c r="R157" s="9">
        <f t="shared" si="7"/>
        <v>0.73637702503681879</v>
      </c>
      <c r="V157" t="str">
        <f t="shared" si="8"/>
        <v>Good Performance</v>
      </c>
    </row>
    <row r="158" spans="1:22" x14ac:dyDescent="0.25">
      <c r="A158" t="s">
        <v>10</v>
      </c>
      <c r="B158" t="s">
        <v>19</v>
      </c>
      <c r="C158" t="s">
        <v>39</v>
      </c>
      <c r="D158" t="s">
        <v>46</v>
      </c>
      <c r="E158">
        <v>1797</v>
      </c>
      <c r="F158">
        <v>5</v>
      </c>
      <c r="G158">
        <v>350</v>
      </c>
      <c r="H158">
        <v>628950</v>
      </c>
      <c r="I158">
        <v>18868.5</v>
      </c>
      <c r="J158">
        <v>610081.5</v>
      </c>
      <c r="K158">
        <v>467220</v>
      </c>
      <c r="L158">
        <v>142861.5</v>
      </c>
      <c r="M158" s="4">
        <v>41518</v>
      </c>
      <c r="N158">
        <v>9</v>
      </c>
      <c r="O158" t="s">
        <v>29</v>
      </c>
      <c r="P158" t="s">
        <v>14</v>
      </c>
      <c r="Q158" s="9">
        <f t="shared" si="6"/>
        <v>0.2341678939617084</v>
      </c>
      <c r="R158" s="9">
        <f t="shared" si="7"/>
        <v>0.76583210603829166</v>
      </c>
      <c r="V158" t="str">
        <f t="shared" si="8"/>
        <v>Good Performance</v>
      </c>
    </row>
    <row r="159" spans="1:22" x14ac:dyDescent="0.25">
      <c r="A159" t="s">
        <v>9</v>
      </c>
      <c r="B159" t="s">
        <v>18</v>
      </c>
      <c r="C159" t="s">
        <v>39</v>
      </c>
      <c r="D159" t="s">
        <v>46</v>
      </c>
      <c r="E159">
        <v>1287</v>
      </c>
      <c r="F159">
        <v>5</v>
      </c>
      <c r="G159">
        <v>125</v>
      </c>
      <c r="H159">
        <v>160875</v>
      </c>
      <c r="I159">
        <v>4826.25</v>
      </c>
      <c r="J159">
        <v>156048.75</v>
      </c>
      <c r="K159">
        <v>154440</v>
      </c>
      <c r="L159">
        <v>1608.75</v>
      </c>
      <c r="M159" s="4">
        <v>41974</v>
      </c>
      <c r="N159">
        <v>12</v>
      </c>
      <c r="O159" t="s">
        <v>32</v>
      </c>
      <c r="P159" t="s">
        <v>15</v>
      </c>
      <c r="Q159" s="9">
        <f t="shared" si="6"/>
        <v>1.0309278350515464E-2</v>
      </c>
      <c r="R159" s="9">
        <f t="shared" si="7"/>
        <v>0.98969072164948457</v>
      </c>
      <c r="V159" t="str">
        <f t="shared" si="8"/>
        <v>Under Review</v>
      </c>
    </row>
    <row r="160" spans="1:22" x14ac:dyDescent="0.25">
      <c r="A160" t="s">
        <v>9</v>
      </c>
      <c r="B160" t="s">
        <v>19</v>
      </c>
      <c r="C160" t="s">
        <v>39</v>
      </c>
      <c r="D160" t="s">
        <v>46</v>
      </c>
      <c r="E160">
        <v>1706</v>
      </c>
      <c r="F160">
        <v>5</v>
      </c>
      <c r="G160">
        <v>125</v>
      </c>
      <c r="H160">
        <v>213250</v>
      </c>
      <c r="I160">
        <v>6397.5</v>
      </c>
      <c r="J160">
        <v>206852.5</v>
      </c>
      <c r="K160">
        <v>204720</v>
      </c>
      <c r="L160">
        <v>2132.5</v>
      </c>
      <c r="M160" s="4">
        <v>41974</v>
      </c>
      <c r="N160">
        <v>12</v>
      </c>
      <c r="O160" t="s">
        <v>32</v>
      </c>
      <c r="P160" t="s">
        <v>15</v>
      </c>
      <c r="Q160" s="9">
        <f t="shared" si="6"/>
        <v>1.0309278350515464E-2</v>
      </c>
      <c r="R160" s="9">
        <f t="shared" si="7"/>
        <v>0.98969072164948457</v>
      </c>
      <c r="V160" t="str">
        <f t="shared" si="8"/>
        <v>Under Review</v>
      </c>
    </row>
    <row r="161" spans="1:22" x14ac:dyDescent="0.25">
      <c r="A161" t="s">
        <v>7</v>
      </c>
      <c r="B161" t="s">
        <v>18</v>
      </c>
      <c r="C161" t="s">
        <v>40</v>
      </c>
      <c r="D161" t="s">
        <v>46</v>
      </c>
      <c r="E161">
        <v>2434.5</v>
      </c>
      <c r="F161">
        <v>10</v>
      </c>
      <c r="G161">
        <v>300</v>
      </c>
      <c r="H161">
        <v>730350</v>
      </c>
      <c r="I161">
        <v>21910.5</v>
      </c>
      <c r="J161">
        <v>708439.5</v>
      </c>
      <c r="K161">
        <v>608625</v>
      </c>
      <c r="L161">
        <v>99814.5</v>
      </c>
      <c r="M161" s="4">
        <v>41640</v>
      </c>
      <c r="N161">
        <v>1</v>
      </c>
      <c r="O161" t="s">
        <v>21</v>
      </c>
      <c r="P161" t="s">
        <v>15</v>
      </c>
      <c r="Q161" s="9">
        <f t="shared" si="6"/>
        <v>0.14089347079037801</v>
      </c>
      <c r="R161" s="9">
        <f t="shared" si="7"/>
        <v>0.85910652920962194</v>
      </c>
      <c r="V161" t="str">
        <f t="shared" si="8"/>
        <v>Good Performance</v>
      </c>
    </row>
    <row r="162" spans="1:22" x14ac:dyDescent="0.25">
      <c r="A162" t="s">
        <v>9</v>
      </c>
      <c r="B162" t="s">
        <v>16</v>
      </c>
      <c r="C162" t="s">
        <v>40</v>
      </c>
      <c r="D162" t="s">
        <v>46</v>
      </c>
      <c r="E162">
        <v>1774</v>
      </c>
      <c r="F162">
        <v>10</v>
      </c>
      <c r="G162">
        <v>125</v>
      </c>
      <c r="H162">
        <v>221750</v>
      </c>
      <c r="I162">
        <v>6652.5</v>
      </c>
      <c r="J162">
        <v>215097.5</v>
      </c>
      <c r="K162">
        <v>212880</v>
      </c>
      <c r="L162">
        <v>2217.5</v>
      </c>
      <c r="M162" s="4">
        <v>41699</v>
      </c>
      <c r="N162">
        <v>3</v>
      </c>
      <c r="O162" t="s">
        <v>23</v>
      </c>
      <c r="P162" t="s">
        <v>15</v>
      </c>
      <c r="Q162" s="9">
        <f t="shared" si="6"/>
        <v>1.0309278350515464E-2</v>
      </c>
      <c r="R162" s="9">
        <f t="shared" si="7"/>
        <v>0.98969072164948457</v>
      </c>
      <c r="V162" t="str">
        <f t="shared" si="8"/>
        <v>Under Review</v>
      </c>
    </row>
    <row r="163" spans="1:22" x14ac:dyDescent="0.25">
      <c r="A163" t="s">
        <v>11</v>
      </c>
      <c r="B163" t="s">
        <v>18</v>
      </c>
      <c r="C163" t="s">
        <v>40</v>
      </c>
      <c r="D163" t="s">
        <v>46</v>
      </c>
      <c r="E163">
        <v>1901</v>
      </c>
      <c r="F163">
        <v>10</v>
      </c>
      <c r="G163">
        <v>12</v>
      </c>
      <c r="H163">
        <v>22812</v>
      </c>
      <c r="I163">
        <v>684.36</v>
      </c>
      <c r="J163">
        <v>22127.64</v>
      </c>
      <c r="K163">
        <v>5703</v>
      </c>
      <c r="L163">
        <v>16424.64</v>
      </c>
      <c r="M163" s="4">
        <v>41791</v>
      </c>
      <c r="N163">
        <v>6</v>
      </c>
      <c r="O163" t="s">
        <v>26</v>
      </c>
      <c r="P163" t="s">
        <v>15</v>
      </c>
      <c r="Q163" s="9">
        <f t="shared" si="6"/>
        <v>0.74226804123711343</v>
      </c>
      <c r="R163" s="9">
        <f t="shared" si="7"/>
        <v>0.25773195876288663</v>
      </c>
      <c r="V163" t="str">
        <f t="shared" si="8"/>
        <v>Good Performance</v>
      </c>
    </row>
    <row r="164" spans="1:22" x14ac:dyDescent="0.25">
      <c r="A164" t="s">
        <v>7</v>
      </c>
      <c r="B164" t="s">
        <v>19</v>
      </c>
      <c r="C164" t="s">
        <v>40</v>
      </c>
      <c r="D164" t="s">
        <v>46</v>
      </c>
      <c r="E164">
        <v>689</v>
      </c>
      <c r="F164">
        <v>10</v>
      </c>
      <c r="G164">
        <v>300</v>
      </c>
      <c r="H164">
        <v>206700</v>
      </c>
      <c r="I164">
        <v>6201</v>
      </c>
      <c r="J164">
        <v>200499</v>
      </c>
      <c r="K164">
        <v>172250</v>
      </c>
      <c r="L164">
        <v>28249</v>
      </c>
      <c r="M164" s="4">
        <v>41791</v>
      </c>
      <c r="N164">
        <v>6</v>
      </c>
      <c r="O164" t="s">
        <v>26</v>
      </c>
      <c r="P164" t="s">
        <v>15</v>
      </c>
      <c r="Q164" s="9">
        <f t="shared" si="6"/>
        <v>0.14089347079037801</v>
      </c>
      <c r="R164" s="9">
        <f t="shared" si="7"/>
        <v>0.85910652920962194</v>
      </c>
      <c r="V164" t="str">
        <f t="shared" si="8"/>
        <v>Good Performance</v>
      </c>
    </row>
    <row r="165" spans="1:22" x14ac:dyDescent="0.25">
      <c r="A165" t="s">
        <v>9</v>
      </c>
      <c r="B165" t="s">
        <v>19</v>
      </c>
      <c r="C165" t="s">
        <v>40</v>
      </c>
      <c r="D165" t="s">
        <v>46</v>
      </c>
      <c r="E165">
        <v>1570</v>
      </c>
      <c r="F165">
        <v>10</v>
      </c>
      <c r="G165">
        <v>125</v>
      </c>
      <c r="H165">
        <v>196250</v>
      </c>
      <c r="I165">
        <v>5887.5</v>
      </c>
      <c r="J165">
        <v>190362.5</v>
      </c>
      <c r="K165">
        <v>188400</v>
      </c>
      <c r="L165">
        <v>1962.5</v>
      </c>
      <c r="M165" s="4">
        <v>41791</v>
      </c>
      <c r="N165">
        <v>6</v>
      </c>
      <c r="O165" t="s">
        <v>26</v>
      </c>
      <c r="P165" t="s">
        <v>15</v>
      </c>
      <c r="Q165" s="9">
        <f t="shared" si="6"/>
        <v>1.0309278350515464E-2</v>
      </c>
      <c r="R165" s="9">
        <f t="shared" si="7"/>
        <v>0.98969072164948457</v>
      </c>
      <c r="V165" t="str">
        <f t="shared" si="8"/>
        <v>Under Review</v>
      </c>
    </row>
    <row r="166" spans="1:22" x14ac:dyDescent="0.25">
      <c r="A166" t="s">
        <v>11</v>
      </c>
      <c r="B166" t="s">
        <v>17</v>
      </c>
      <c r="C166" t="s">
        <v>40</v>
      </c>
      <c r="D166" t="s">
        <v>46</v>
      </c>
      <c r="E166">
        <v>1369.5</v>
      </c>
      <c r="F166">
        <v>10</v>
      </c>
      <c r="G166">
        <v>12</v>
      </c>
      <c r="H166">
        <v>16434</v>
      </c>
      <c r="I166">
        <v>493.02</v>
      </c>
      <c r="J166">
        <v>15940.98</v>
      </c>
      <c r="K166">
        <v>4108.5</v>
      </c>
      <c r="L166">
        <v>11832.48</v>
      </c>
      <c r="M166" s="4">
        <v>41821</v>
      </c>
      <c r="N166">
        <v>7</v>
      </c>
      <c r="O166" t="s">
        <v>27</v>
      </c>
      <c r="P166" t="s">
        <v>15</v>
      </c>
      <c r="Q166" s="9">
        <f t="shared" si="6"/>
        <v>0.74226804123711343</v>
      </c>
      <c r="R166" s="9">
        <f t="shared" si="7"/>
        <v>0.25773195876288663</v>
      </c>
      <c r="V166" t="str">
        <f t="shared" si="8"/>
        <v>Good Performance</v>
      </c>
    </row>
    <row r="167" spans="1:22" x14ac:dyDescent="0.25">
      <c r="A167" t="s">
        <v>9</v>
      </c>
      <c r="B167" t="s">
        <v>16</v>
      </c>
      <c r="C167" t="s">
        <v>40</v>
      </c>
      <c r="D167" t="s">
        <v>46</v>
      </c>
      <c r="E167">
        <v>2009</v>
      </c>
      <c r="F167">
        <v>10</v>
      </c>
      <c r="G167">
        <v>125</v>
      </c>
      <c r="H167">
        <v>251125</v>
      </c>
      <c r="I167">
        <v>7533.75</v>
      </c>
      <c r="J167">
        <v>243591.25</v>
      </c>
      <c r="K167">
        <v>241080</v>
      </c>
      <c r="L167">
        <v>2511.25</v>
      </c>
      <c r="M167" s="4">
        <v>41913</v>
      </c>
      <c r="N167">
        <v>10</v>
      </c>
      <c r="O167" t="s">
        <v>30</v>
      </c>
      <c r="P167" t="s">
        <v>15</v>
      </c>
      <c r="Q167" s="9">
        <f t="shared" si="6"/>
        <v>1.0309278350515464E-2</v>
      </c>
      <c r="R167" s="9">
        <f t="shared" si="7"/>
        <v>0.98969072164948457</v>
      </c>
      <c r="V167" t="str">
        <f t="shared" si="8"/>
        <v>Under Review</v>
      </c>
    </row>
    <row r="168" spans="1:22" x14ac:dyDescent="0.25">
      <c r="A168" t="s">
        <v>8</v>
      </c>
      <c r="B168" t="s">
        <v>19</v>
      </c>
      <c r="C168" t="s">
        <v>40</v>
      </c>
      <c r="D168" t="s">
        <v>46</v>
      </c>
      <c r="E168">
        <v>1945</v>
      </c>
      <c r="F168">
        <v>10</v>
      </c>
      <c r="G168">
        <v>15</v>
      </c>
      <c r="H168">
        <v>29175</v>
      </c>
      <c r="I168">
        <v>875.25</v>
      </c>
      <c r="J168">
        <v>28299.75</v>
      </c>
      <c r="K168">
        <v>19450</v>
      </c>
      <c r="L168">
        <v>8849.75</v>
      </c>
      <c r="M168" s="4">
        <v>41548</v>
      </c>
      <c r="N168">
        <v>10</v>
      </c>
      <c r="O168" t="s">
        <v>30</v>
      </c>
      <c r="P168" t="s">
        <v>14</v>
      </c>
      <c r="Q168" s="9">
        <f t="shared" si="6"/>
        <v>0.3127147766323024</v>
      </c>
      <c r="R168" s="9">
        <f t="shared" si="7"/>
        <v>0.6872852233676976</v>
      </c>
      <c r="V168" t="str">
        <f t="shared" si="8"/>
        <v>Good Performance</v>
      </c>
    </row>
    <row r="169" spans="1:22" x14ac:dyDescent="0.25">
      <c r="A169" t="s">
        <v>9</v>
      </c>
      <c r="B169" t="s">
        <v>18</v>
      </c>
      <c r="C169" t="s">
        <v>40</v>
      </c>
      <c r="D169" t="s">
        <v>46</v>
      </c>
      <c r="E169">
        <v>1287</v>
      </c>
      <c r="F169">
        <v>10</v>
      </c>
      <c r="G169">
        <v>125</v>
      </c>
      <c r="H169">
        <v>160875</v>
      </c>
      <c r="I169">
        <v>4826.25</v>
      </c>
      <c r="J169">
        <v>156048.75</v>
      </c>
      <c r="K169">
        <v>154440</v>
      </c>
      <c r="L169">
        <v>1608.75</v>
      </c>
      <c r="M169" s="4">
        <v>41974</v>
      </c>
      <c r="N169">
        <v>12</v>
      </c>
      <c r="O169" t="s">
        <v>32</v>
      </c>
      <c r="P169" t="s">
        <v>15</v>
      </c>
      <c r="Q169" s="9">
        <f t="shared" si="6"/>
        <v>1.0309278350515464E-2</v>
      </c>
      <c r="R169" s="9">
        <f t="shared" si="7"/>
        <v>0.98969072164948457</v>
      </c>
      <c r="V169" t="str">
        <f t="shared" si="8"/>
        <v>Under Review</v>
      </c>
    </row>
    <row r="170" spans="1:22" x14ac:dyDescent="0.25">
      <c r="A170" t="s">
        <v>9</v>
      </c>
      <c r="B170" t="s">
        <v>19</v>
      </c>
      <c r="C170" t="s">
        <v>40</v>
      </c>
      <c r="D170" t="s">
        <v>46</v>
      </c>
      <c r="E170">
        <v>1706</v>
      </c>
      <c r="F170">
        <v>10</v>
      </c>
      <c r="G170">
        <v>125</v>
      </c>
      <c r="H170">
        <v>213250</v>
      </c>
      <c r="I170">
        <v>6397.5</v>
      </c>
      <c r="J170">
        <v>206852.5</v>
      </c>
      <c r="K170">
        <v>204720</v>
      </c>
      <c r="L170">
        <v>2132.5</v>
      </c>
      <c r="M170" s="4">
        <v>41974</v>
      </c>
      <c r="N170">
        <v>12</v>
      </c>
      <c r="O170" t="s">
        <v>32</v>
      </c>
      <c r="P170" t="s">
        <v>15</v>
      </c>
      <c r="Q170" s="9">
        <f t="shared" si="6"/>
        <v>1.0309278350515464E-2</v>
      </c>
      <c r="R170" s="9">
        <f t="shared" si="7"/>
        <v>0.98969072164948457</v>
      </c>
      <c r="V170" t="str">
        <f t="shared" si="8"/>
        <v>Under Review</v>
      </c>
    </row>
    <row r="171" spans="1:22" x14ac:dyDescent="0.25">
      <c r="A171" t="s">
        <v>9</v>
      </c>
      <c r="B171" t="s">
        <v>16</v>
      </c>
      <c r="C171" t="s">
        <v>41</v>
      </c>
      <c r="D171" t="s">
        <v>46</v>
      </c>
      <c r="E171">
        <v>2009</v>
      </c>
      <c r="F171">
        <v>120</v>
      </c>
      <c r="G171">
        <v>125</v>
      </c>
      <c r="H171">
        <v>251125</v>
      </c>
      <c r="I171">
        <v>7533.75</v>
      </c>
      <c r="J171">
        <v>243591.25</v>
      </c>
      <c r="K171">
        <v>241080</v>
      </c>
      <c r="L171">
        <v>2511.25</v>
      </c>
      <c r="M171" s="4">
        <v>41913</v>
      </c>
      <c r="N171">
        <v>10</v>
      </c>
      <c r="O171" t="s">
        <v>30</v>
      </c>
      <c r="P171" t="s">
        <v>15</v>
      </c>
      <c r="Q171" s="9">
        <f t="shared" si="6"/>
        <v>1.0309278350515464E-2</v>
      </c>
      <c r="R171" s="9">
        <f t="shared" si="7"/>
        <v>0.98969072164948457</v>
      </c>
      <c r="V171" t="str">
        <f t="shared" si="8"/>
        <v>Under Review</v>
      </c>
    </row>
    <row r="172" spans="1:22" x14ac:dyDescent="0.25">
      <c r="A172" t="s">
        <v>7</v>
      </c>
      <c r="B172" t="s">
        <v>17</v>
      </c>
      <c r="C172" t="s">
        <v>42</v>
      </c>
      <c r="D172" t="s">
        <v>46</v>
      </c>
      <c r="E172">
        <v>2844</v>
      </c>
      <c r="F172">
        <v>250</v>
      </c>
      <c r="G172">
        <v>300</v>
      </c>
      <c r="H172">
        <v>853200</v>
      </c>
      <c r="I172">
        <v>25596</v>
      </c>
      <c r="J172">
        <v>827604</v>
      </c>
      <c r="K172">
        <v>711000</v>
      </c>
      <c r="L172">
        <v>116604</v>
      </c>
      <c r="M172" s="4">
        <v>41671</v>
      </c>
      <c r="N172">
        <v>2</v>
      </c>
      <c r="O172" t="s">
        <v>22</v>
      </c>
      <c r="P172" t="s">
        <v>15</v>
      </c>
      <c r="Q172" s="9">
        <f t="shared" si="6"/>
        <v>0.14089347079037801</v>
      </c>
      <c r="R172" s="9">
        <f t="shared" si="7"/>
        <v>0.85910652920962194</v>
      </c>
      <c r="V172" t="str">
        <f t="shared" si="8"/>
        <v>Good Performance</v>
      </c>
    </row>
    <row r="173" spans="1:22" x14ac:dyDescent="0.25">
      <c r="A173" t="s">
        <v>11</v>
      </c>
      <c r="B173" t="s">
        <v>20</v>
      </c>
      <c r="C173" t="s">
        <v>42</v>
      </c>
      <c r="D173" t="s">
        <v>46</v>
      </c>
      <c r="E173">
        <v>1916</v>
      </c>
      <c r="F173">
        <v>250</v>
      </c>
      <c r="G173">
        <v>12</v>
      </c>
      <c r="H173">
        <v>22992</v>
      </c>
      <c r="I173">
        <v>689.76</v>
      </c>
      <c r="J173">
        <v>22302.240000000002</v>
      </c>
      <c r="K173">
        <v>5748</v>
      </c>
      <c r="L173">
        <v>16554.240000000002</v>
      </c>
      <c r="M173" s="4">
        <v>41730</v>
      </c>
      <c r="N173">
        <v>4</v>
      </c>
      <c r="O173" t="s">
        <v>24</v>
      </c>
      <c r="P173" t="s">
        <v>15</v>
      </c>
      <c r="Q173" s="9">
        <f t="shared" si="6"/>
        <v>0.74226804123711343</v>
      </c>
      <c r="R173" s="9">
        <f t="shared" si="7"/>
        <v>0.25773195876288657</v>
      </c>
      <c r="V173" t="str">
        <f t="shared" si="8"/>
        <v>Good Performance</v>
      </c>
    </row>
    <row r="174" spans="1:22" x14ac:dyDescent="0.25">
      <c r="A174" t="s">
        <v>9</v>
      </c>
      <c r="B174" t="s">
        <v>19</v>
      </c>
      <c r="C174" t="s">
        <v>42</v>
      </c>
      <c r="D174" t="s">
        <v>46</v>
      </c>
      <c r="E174">
        <v>1570</v>
      </c>
      <c r="F174">
        <v>250</v>
      </c>
      <c r="G174">
        <v>125</v>
      </c>
      <c r="H174">
        <v>196250</v>
      </c>
      <c r="I174">
        <v>5887.5</v>
      </c>
      <c r="J174">
        <v>190362.5</v>
      </c>
      <c r="K174">
        <v>188400</v>
      </c>
      <c r="L174">
        <v>1962.5</v>
      </c>
      <c r="M174" s="4">
        <v>41791</v>
      </c>
      <c r="N174">
        <v>6</v>
      </c>
      <c r="O174" t="s">
        <v>26</v>
      </c>
      <c r="P174" t="s">
        <v>15</v>
      </c>
      <c r="Q174" s="9">
        <f t="shared" si="6"/>
        <v>1.0309278350515464E-2</v>
      </c>
      <c r="R174" s="9">
        <f t="shared" si="7"/>
        <v>0.98969072164948457</v>
      </c>
      <c r="V174" t="str">
        <f t="shared" si="8"/>
        <v>Under Review</v>
      </c>
    </row>
    <row r="175" spans="1:22" x14ac:dyDescent="0.25">
      <c r="A175" t="s">
        <v>7</v>
      </c>
      <c r="B175" t="s">
        <v>16</v>
      </c>
      <c r="C175" t="s">
        <v>42</v>
      </c>
      <c r="D175" t="s">
        <v>46</v>
      </c>
      <c r="E175">
        <v>1874</v>
      </c>
      <c r="F175">
        <v>250</v>
      </c>
      <c r="G175">
        <v>300</v>
      </c>
      <c r="H175">
        <v>562200</v>
      </c>
      <c r="I175">
        <v>16866</v>
      </c>
      <c r="J175">
        <v>545334</v>
      </c>
      <c r="K175">
        <v>468500</v>
      </c>
      <c r="L175">
        <v>76834</v>
      </c>
      <c r="M175" s="4">
        <v>41852</v>
      </c>
      <c r="N175">
        <v>8</v>
      </c>
      <c r="O175" t="s">
        <v>28</v>
      </c>
      <c r="P175" t="s">
        <v>15</v>
      </c>
      <c r="Q175" s="9">
        <f t="shared" si="6"/>
        <v>0.14089347079037801</v>
      </c>
      <c r="R175" s="9">
        <f t="shared" si="7"/>
        <v>0.85910652920962194</v>
      </c>
      <c r="V175" t="str">
        <f t="shared" si="8"/>
        <v>Good Performance</v>
      </c>
    </row>
    <row r="176" spans="1:22" x14ac:dyDescent="0.25">
      <c r="A176" t="s">
        <v>10</v>
      </c>
      <c r="B176" t="s">
        <v>20</v>
      </c>
      <c r="C176" t="s">
        <v>42</v>
      </c>
      <c r="D176" t="s">
        <v>46</v>
      </c>
      <c r="E176">
        <v>1642</v>
      </c>
      <c r="F176">
        <v>250</v>
      </c>
      <c r="G176">
        <v>350</v>
      </c>
      <c r="H176">
        <v>574700</v>
      </c>
      <c r="I176">
        <v>17241</v>
      </c>
      <c r="J176">
        <v>557459</v>
      </c>
      <c r="K176">
        <v>426920</v>
      </c>
      <c r="L176">
        <v>130539</v>
      </c>
      <c r="M176" s="4">
        <v>41852</v>
      </c>
      <c r="N176">
        <v>8</v>
      </c>
      <c r="O176" t="s">
        <v>28</v>
      </c>
      <c r="P176" t="s">
        <v>15</v>
      </c>
      <c r="Q176" s="9">
        <f t="shared" si="6"/>
        <v>0.2341678939617084</v>
      </c>
      <c r="R176" s="9">
        <f t="shared" si="7"/>
        <v>0.76583210603829166</v>
      </c>
      <c r="V176" t="str">
        <f t="shared" si="8"/>
        <v>Good Performance</v>
      </c>
    </row>
    <row r="177" spans="1:22" x14ac:dyDescent="0.25">
      <c r="A177" t="s">
        <v>8</v>
      </c>
      <c r="B177" t="s">
        <v>19</v>
      </c>
      <c r="C177" t="s">
        <v>42</v>
      </c>
      <c r="D177" t="s">
        <v>46</v>
      </c>
      <c r="E177">
        <v>1945</v>
      </c>
      <c r="F177">
        <v>250</v>
      </c>
      <c r="G177">
        <v>15</v>
      </c>
      <c r="H177">
        <v>29175</v>
      </c>
      <c r="I177">
        <v>875.25</v>
      </c>
      <c r="J177">
        <v>28299.75</v>
      </c>
      <c r="K177">
        <v>19450</v>
      </c>
      <c r="L177">
        <v>8849.75</v>
      </c>
      <c r="M177" s="4">
        <v>41548</v>
      </c>
      <c r="N177">
        <v>10</v>
      </c>
      <c r="O177" t="s">
        <v>30</v>
      </c>
      <c r="P177" t="s">
        <v>14</v>
      </c>
      <c r="Q177" s="9">
        <f t="shared" si="6"/>
        <v>0.3127147766323024</v>
      </c>
      <c r="R177" s="9">
        <f t="shared" si="7"/>
        <v>0.6872852233676976</v>
      </c>
      <c r="V177" t="str">
        <f t="shared" si="8"/>
        <v>Good Performance</v>
      </c>
    </row>
    <row r="178" spans="1:22" x14ac:dyDescent="0.25">
      <c r="A178" t="s">
        <v>10</v>
      </c>
      <c r="B178" t="s">
        <v>16</v>
      </c>
      <c r="C178" t="s">
        <v>38</v>
      </c>
      <c r="D178" t="s">
        <v>46</v>
      </c>
      <c r="E178">
        <v>831</v>
      </c>
      <c r="F178">
        <v>3</v>
      </c>
      <c r="G178">
        <v>20</v>
      </c>
      <c r="H178">
        <v>16620</v>
      </c>
      <c r="I178">
        <v>498.6</v>
      </c>
      <c r="J178">
        <v>16121.4</v>
      </c>
      <c r="K178">
        <v>8310</v>
      </c>
      <c r="L178">
        <v>7811.4</v>
      </c>
      <c r="M178" s="4">
        <v>41760</v>
      </c>
      <c r="N178">
        <v>5</v>
      </c>
      <c r="O178" t="s">
        <v>25</v>
      </c>
      <c r="P178" t="s">
        <v>15</v>
      </c>
      <c r="Q178" s="9">
        <f t="shared" si="6"/>
        <v>0.4845360824742268</v>
      </c>
      <c r="R178" s="9">
        <f t="shared" si="7"/>
        <v>0.51546391752577325</v>
      </c>
      <c r="V178" t="str">
        <f t="shared" si="8"/>
        <v>Good Performance</v>
      </c>
    </row>
    <row r="179" spans="1:22" x14ac:dyDescent="0.25">
      <c r="A179" t="s">
        <v>10</v>
      </c>
      <c r="B179" t="s">
        <v>20</v>
      </c>
      <c r="C179" t="s">
        <v>40</v>
      </c>
      <c r="D179" t="s">
        <v>46</v>
      </c>
      <c r="E179">
        <v>1760</v>
      </c>
      <c r="F179">
        <v>10</v>
      </c>
      <c r="G179">
        <v>7</v>
      </c>
      <c r="H179">
        <v>12320</v>
      </c>
      <c r="I179">
        <v>369.6</v>
      </c>
      <c r="J179">
        <v>11950.4</v>
      </c>
      <c r="K179">
        <v>8800</v>
      </c>
      <c r="L179">
        <v>3150.3999999999996</v>
      </c>
      <c r="M179" s="4">
        <v>41518</v>
      </c>
      <c r="N179">
        <v>9</v>
      </c>
      <c r="O179" t="s">
        <v>29</v>
      </c>
      <c r="P179" t="s">
        <v>14</v>
      </c>
      <c r="Q179" s="9">
        <f t="shared" si="6"/>
        <v>0.2636229749631811</v>
      </c>
      <c r="R179" s="9">
        <f t="shared" si="7"/>
        <v>0.7363770250368189</v>
      </c>
      <c r="V179" t="str">
        <f t="shared" si="8"/>
        <v>Good Performance</v>
      </c>
    </row>
    <row r="180" spans="1:22" x14ac:dyDescent="0.25">
      <c r="A180" t="s">
        <v>10</v>
      </c>
      <c r="B180" t="s">
        <v>16</v>
      </c>
      <c r="C180" t="s">
        <v>41</v>
      </c>
      <c r="D180" t="s">
        <v>46</v>
      </c>
      <c r="E180">
        <v>3850.5</v>
      </c>
      <c r="F180">
        <v>120</v>
      </c>
      <c r="G180">
        <v>20</v>
      </c>
      <c r="H180">
        <v>77010</v>
      </c>
      <c r="I180">
        <v>2310.3000000000002</v>
      </c>
      <c r="J180">
        <v>74699.700000000012</v>
      </c>
      <c r="K180">
        <v>38505</v>
      </c>
      <c r="L180">
        <v>36194.700000000004</v>
      </c>
      <c r="M180" s="4">
        <v>41730</v>
      </c>
      <c r="N180">
        <v>4</v>
      </c>
      <c r="O180" t="s">
        <v>24</v>
      </c>
      <c r="P180" t="s">
        <v>15</v>
      </c>
      <c r="Q180" s="9">
        <f t="shared" si="6"/>
        <v>0.4845360824742268</v>
      </c>
      <c r="R180" s="9">
        <f t="shared" si="7"/>
        <v>0.51546391752577314</v>
      </c>
      <c r="V180" t="str">
        <f t="shared" si="8"/>
        <v>Good Performance</v>
      </c>
    </row>
    <row r="181" spans="1:22" x14ac:dyDescent="0.25">
      <c r="A181" t="s">
        <v>11</v>
      </c>
      <c r="B181" t="s">
        <v>19</v>
      </c>
      <c r="C181" t="s">
        <v>42</v>
      </c>
      <c r="D181" t="s">
        <v>46</v>
      </c>
      <c r="E181">
        <v>2479</v>
      </c>
      <c r="F181">
        <v>250</v>
      </c>
      <c r="G181">
        <v>12</v>
      </c>
      <c r="H181">
        <v>29748</v>
      </c>
      <c r="I181">
        <v>892.44</v>
      </c>
      <c r="J181">
        <v>28855.56</v>
      </c>
      <c r="K181">
        <v>7437</v>
      </c>
      <c r="L181">
        <v>21418.560000000001</v>
      </c>
      <c r="M181" s="4">
        <v>41640</v>
      </c>
      <c r="N181">
        <v>1</v>
      </c>
      <c r="O181" t="s">
        <v>21</v>
      </c>
      <c r="P181" t="s">
        <v>15</v>
      </c>
      <c r="Q181" s="9">
        <f t="shared" si="6"/>
        <v>0.74226804123711343</v>
      </c>
      <c r="R181" s="9">
        <f t="shared" si="7"/>
        <v>0.25773195876288657</v>
      </c>
      <c r="V181" t="str">
        <f t="shared" si="8"/>
        <v>Good Performance</v>
      </c>
    </row>
    <row r="182" spans="1:22" x14ac:dyDescent="0.25">
      <c r="A182" t="s">
        <v>8</v>
      </c>
      <c r="B182" t="s">
        <v>20</v>
      </c>
      <c r="C182" t="s">
        <v>39</v>
      </c>
      <c r="D182" t="s">
        <v>46</v>
      </c>
      <c r="E182">
        <v>2031</v>
      </c>
      <c r="F182">
        <v>5</v>
      </c>
      <c r="G182">
        <v>15</v>
      </c>
      <c r="H182">
        <v>30465</v>
      </c>
      <c r="I182">
        <v>1218.5999999999999</v>
      </c>
      <c r="J182">
        <v>29246.400000000001</v>
      </c>
      <c r="K182">
        <v>20310</v>
      </c>
      <c r="L182">
        <v>8936.4000000000015</v>
      </c>
      <c r="M182" s="4">
        <v>41913</v>
      </c>
      <c r="N182">
        <v>10</v>
      </c>
      <c r="O182" t="s">
        <v>30</v>
      </c>
      <c r="P182" t="s">
        <v>15</v>
      </c>
      <c r="Q182" s="9">
        <f t="shared" si="6"/>
        <v>0.30555555555555558</v>
      </c>
      <c r="R182" s="9">
        <f t="shared" si="7"/>
        <v>0.69444444444444442</v>
      </c>
      <c r="V182" t="str">
        <f t="shared" si="8"/>
        <v>Good Performance</v>
      </c>
    </row>
    <row r="183" spans="1:22" x14ac:dyDescent="0.25">
      <c r="A183" t="s">
        <v>8</v>
      </c>
      <c r="B183" t="s">
        <v>20</v>
      </c>
      <c r="C183" t="s">
        <v>40</v>
      </c>
      <c r="D183" t="s">
        <v>46</v>
      </c>
      <c r="E183">
        <v>2031</v>
      </c>
      <c r="F183">
        <v>10</v>
      </c>
      <c r="G183">
        <v>15</v>
      </c>
      <c r="H183">
        <v>30465</v>
      </c>
      <c r="I183">
        <v>1218.5999999999999</v>
      </c>
      <c r="J183">
        <v>29246.400000000001</v>
      </c>
      <c r="K183">
        <v>20310</v>
      </c>
      <c r="L183">
        <v>8936.4000000000015</v>
      </c>
      <c r="M183" s="4">
        <v>41913</v>
      </c>
      <c r="N183">
        <v>10</v>
      </c>
      <c r="O183" t="s">
        <v>30</v>
      </c>
      <c r="P183" t="s">
        <v>15</v>
      </c>
      <c r="Q183" s="9">
        <f t="shared" si="6"/>
        <v>0.30555555555555558</v>
      </c>
      <c r="R183" s="9">
        <f t="shared" si="7"/>
        <v>0.69444444444444442</v>
      </c>
      <c r="V183" t="str">
        <f t="shared" si="8"/>
        <v>Good Performance</v>
      </c>
    </row>
    <row r="184" spans="1:22" x14ac:dyDescent="0.25">
      <c r="A184" t="s">
        <v>8</v>
      </c>
      <c r="B184" t="s">
        <v>18</v>
      </c>
      <c r="C184" t="s">
        <v>40</v>
      </c>
      <c r="D184" t="s">
        <v>46</v>
      </c>
      <c r="E184">
        <v>2261</v>
      </c>
      <c r="F184">
        <v>10</v>
      </c>
      <c r="G184">
        <v>15</v>
      </c>
      <c r="H184">
        <v>33915</v>
      </c>
      <c r="I184">
        <v>1356.6</v>
      </c>
      <c r="J184">
        <v>32558.400000000001</v>
      </c>
      <c r="K184">
        <v>22610</v>
      </c>
      <c r="L184">
        <v>9948.4000000000015</v>
      </c>
      <c r="M184" s="4">
        <v>41609</v>
      </c>
      <c r="N184">
        <v>12</v>
      </c>
      <c r="O184" t="s">
        <v>32</v>
      </c>
      <c r="P184" t="s">
        <v>14</v>
      </c>
      <c r="Q184" s="9">
        <f t="shared" si="6"/>
        <v>0.30555555555555558</v>
      </c>
      <c r="R184" s="9">
        <f t="shared" si="7"/>
        <v>0.69444444444444442</v>
      </c>
      <c r="V184" t="str">
        <f t="shared" si="8"/>
        <v>Good Performance</v>
      </c>
    </row>
    <row r="185" spans="1:22" x14ac:dyDescent="0.25">
      <c r="A185" t="s">
        <v>10</v>
      </c>
      <c r="B185" t="s">
        <v>17</v>
      </c>
      <c r="C185" t="s">
        <v>41</v>
      </c>
      <c r="D185" t="s">
        <v>46</v>
      </c>
      <c r="E185">
        <v>736</v>
      </c>
      <c r="F185">
        <v>120</v>
      </c>
      <c r="G185">
        <v>20</v>
      </c>
      <c r="H185">
        <v>14720</v>
      </c>
      <c r="I185">
        <v>588.79999999999995</v>
      </c>
      <c r="J185">
        <v>14131.2</v>
      </c>
      <c r="K185">
        <v>7360</v>
      </c>
      <c r="L185">
        <v>6771.2000000000007</v>
      </c>
      <c r="M185" s="4">
        <v>41518</v>
      </c>
      <c r="N185">
        <v>9</v>
      </c>
      <c r="O185" t="s">
        <v>29</v>
      </c>
      <c r="P185" t="s">
        <v>14</v>
      </c>
      <c r="Q185" s="9">
        <f t="shared" si="6"/>
        <v>0.47916666666666669</v>
      </c>
      <c r="R185" s="9">
        <f t="shared" si="7"/>
        <v>0.52083333333333326</v>
      </c>
      <c r="V185" t="str">
        <f t="shared" si="8"/>
        <v>Good Performance</v>
      </c>
    </row>
    <row r="186" spans="1:22" x14ac:dyDescent="0.25">
      <c r="A186" t="s">
        <v>10</v>
      </c>
      <c r="B186" t="s">
        <v>16</v>
      </c>
      <c r="C186" t="s">
        <v>38</v>
      </c>
      <c r="D186" t="s">
        <v>46</v>
      </c>
      <c r="E186">
        <v>2851</v>
      </c>
      <c r="F186">
        <v>3</v>
      </c>
      <c r="G186">
        <v>7</v>
      </c>
      <c r="H186">
        <v>19957</v>
      </c>
      <c r="I186">
        <v>798.28</v>
      </c>
      <c r="J186">
        <v>19158.72</v>
      </c>
      <c r="K186">
        <v>14255</v>
      </c>
      <c r="L186">
        <v>4903.7200000000012</v>
      </c>
      <c r="M186" s="4">
        <v>41548</v>
      </c>
      <c r="N186">
        <v>10</v>
      </c>
      <c r="O186" t="s">
        <v>30</v>
      </c>
      <c r="P186" t="s">
        <v>14</v>
      </c>
      <c r="Q186" s="9">
        <f t="shared" si="6"/>
        <v>0.25595238095238099</v>
      </c>
      <c r="R186" s="9">
        <f t="shared" si="7"/>
        <v>0.74404761904761896</v>
      </c>
      <c r="V186" t="str">
        <f t="shared" si="8"/>
        <v>Good Performance</v>
      </c>
    </row>
    <row r="187" spans="1:22" x14ac:dyDescent="0.25">
      <c r="A187" t="s">
        <v>7</v>
      </c>
      <c r="B187" t="s">
        <v>19</v>
      </c>
      <c r="C187" t="s">
        <v>38</v>
      </c>
      <c r="D187" t="s">
        <v>46</v>
      </c>
      <c r="E187">
        <v>2021</v>
      </c>
      <c r="F187">
        <v>3</v>
      </c>
      <c r="G187">
        <v>300</v>
      </c>
      <c r="H187">
        <v>606300</v>
      </c>
      <c r="I187">
        <v>24252</v>
      </c>
      <c r="J187">
        <v>582048</v>
      </c>
      <c r="K187">
        <v>505250</v>
      </c>
      <c r="L187">
        <v>76798</v>
      </c>
      <c r="M187" s="4">
        <v>41913</v>
      </c>
      <c r="N187">
        <v>10</v>
      </c>
      <c r="O187" t="s">
        <v>30</v>
      </c>
      <c r="P187" t="s">
        <v>15</v>
      </c>
      <c r="Q187" s="9">
        <f t="shared" si="6"/>
        <v>0.13194444444444445</v>
      </c>
      <c r="R187" s="9">
        <f t="shared" si="7"/>
        <v>0.86805555555555558</v>
      </c>
      <c r="V187" t="str">
        <f t="shared" si="8"/>
        <v>Good Performance</v>
      </c>
    </row>
    <row r="188" spans="1:22" x14ac:dyDescent="0.25">
      <c r="A188" t="s">
        <v>10</v>
      </c>
      <c r="B188" t="s">
        <v>17</v>
      </c>
      <c r="C188" t="s">
        <v>38</v>
      </c>
      <c r="D188" t="s">
        <v>46</v>
      </c>
      <c r="E188">
        <v>274</v>
      </c>
      <c r="F188">
        <v>3</v>
      </c>
      <c r="G188">
        <v>350</v>
      </c>
      <c r="H188">
        <v>95900</v>
      </c>
      <c r="I188">
        <v>3836</v>
      </c>
      <c r="J188">
        <v>92064</v>
      </c>
      <c r="K188">
        <v>71240</v>
      </c>
      <c r="L188">
        <v>20824</v>
      </c>
      <c r="M188" s="4">
        <v>41974</v>
      </c>
      <c r="N188">
        <v>12</v>
      </c>
      <c r="O188" t="s">
        <v>32</v>
      </c>
      <c r="P188" t="s">
        <v>15</v>
      </c>
      <c r="Q188" s="9">
        <f t="shared" si="6"/>
        <v>0.22619047619047619</v>
      </c>
      <c r="R188" s="9">
        <f t="shared" si="7"/>
        <v>0.77380952380952384</v>
      </c>
      <c r="V188" t="str">
        <f t="shared" si="8"/>
        <v>Good Performance</v>
      </c>
    </row>
    <row r="189" spans="1:22" x14ac:dyDescent="0.25">
      <c r="A189" t="s">
        <v>8</v>
      </c>
      <c r="B189" t="s">
        <v>16</v>
      </c>
      <c r="C189" t="s">
        <v>39</v>
      </c>
      <c r="D189" t="s">
        <v>46</v>
      </c>
      <c r="E189">
        <v>1967</v>
      </c>
      <c r="F189">
        <v>5</v>
      </c>
      <c r="G189">
        <v>15</v>
      </c>
      <c r="H189">
        <v>29505</v>
      </c>
      <c r="I189">
        <v>1180.2</v>
      </c>
      <c r="J189">
        <v>28324.799999999999</v>
      </c>
      <c r="K189">
        <v>19670</v>
      </c>
      <c r="L189">
        <v>8654.7999999999993</v>
      </c>
      <c r="M189" s="4">
        <v>41699</v>
      </c>
      <c r="N189">
        <v>3</v>
      </c>
      <c r="O189" t="s">
        <v>23</v>
      </c>
      <c r="P189" t="s">
        <v>15</v>
      </c>
      <c r="Q189" s="9">
        <f t="shared" si="6"/>
        <v>0.30555555555555552</v>
      </c>
      <c r="R189" s="9">
        <f t="shared" si="7"/>
        <v>0.69444444444444442</v>
      </c>
      <c r="V189" t="str">
        <f t="shared" si="8"/>
        <v>Good Performance</v>
      </c>
    </row>
    <row r="190" spans="1:22" x14ac:dyDescent="0.25">
      <c r="A190" t="s">
        <v>7</v>
      </c>
      <c r="B190" t="s">
        <v>19</v>
      </c>
      <c r="C190" t="s">
        <v>39</v>
      </c>
      <c r="D190" t="s">
        <v>46</v>
      </c>
      <c r="E190">
        <v>1859</v>
      </c>
      <c r="F190">
        <v>5</v>
      </c>
      <c r="G190">
        <v>300</v>
      </c>
      <c r="H190">
        <v>557700</v>
      </c>
      <c r="I190">
        <v>22308</v>
      </c>
      <c r="J190">
        <v>535392</v>
      </c>
      <c r="K190">
        <v>464750</v>
      </c>
      <c r="L190">
        <v>70642</v>
      </c>
      <c r="M190" s="4">
        <v>41852</v>
      </c>
      <c r="N190">
        <v>8</v>
      </c>
      <c r="O190" t="s">
        <v>28</v>
      </c>
      <c r="P190" t="s">
        <v>15</v>
      </c>
      <c r="Q190" s="9">
        <f t="shared" si="6"/>
        <v>0.13194444444444445</v>
      </c>
      <c r="R190" s="9">
        <f t="shared" si="7"/>
        <v>0.86805555555555558</v>
      </c>
      <c r="V190" t="str">
        <f t="shared" si="8"/>
        <v>Good Performance</v>
      </c>
    </row>
    <row r="191" spans="1:22" x14ac:dyDescent="0.25">
      <c r="A191" t="s">
        <v>10</v>
      </c>
      <c r="B191" t="s">
        <v>16</v>
      </c>
      <c r="C191" t="s">
        <v>39</v>
      </c>
      <c r="D191" t="s">
        <v>46</v>
      </c>
      <c r="E191">
        <v>2851</v>
      </c>
      <c r="F191">
        <v>5</v>
      </c>
      <c r="G191">
        <v>7</v>
      </c>
      <c r="H191">
        <v>19957</v>
      </c>
      <c r="I191">
        <v>798.28</v>
      </c>
      <c r="J191">
        <v>19158.72</v>
      </c>
      <c r="K191">
        <v>14255</v>
      </c>
      <c r="L191">
        <v>4903.7200000000012</v>
      </c>
      <c r="M191" s="4">
        <v>41548</v>
      </c>
      <c r="N191">
        <v>10</v>
      </c>
      <c r="O191" t="s">
        <v>30</v>
      </c>
      <c r="P191" t="s">
        <v>14</v>
      </c>
      <c r="Q191" s="9">
        <f t="shared" si="6"/>
        <v>0.25595238095238099</v>
      </c>
      <c r="R191" s="9">
        <f t="shared" si="7"/>
        <v>0.74404761904761896</v>
      </c>
      <c r="V191" t="str">
        <f t="shared" si="8"/>
        <v>Good Performance</v>
      </c>
    </row>
    <row r="192" spans="1:22" x14ac:dyDescent="0.25">
      <c r="A192" t="s">
        <v>7</v>
      </c>
      <c r="B192" t="s">
        <v>19</v>
      </c>
      <c r="C192" t="s">
        <v>39</v>
      </c>
      <c r="D192" t="s">
        <v>46</v>
      </c>
      <c r="E192">
        <v>2021</v>
      </c>
      <c r="F192">
        <v>5</v>
      </c>
      <c r="G192">
        <v>300</v>
      </c>
      <c r="H192">
        <v>606300</v>
      </c>
      <c r="I192">
        <v>24252</v>
      </c>
      <c r="J192">
        <v>582048</v>
      </c>
      <c r="K192">
        <v>505250</v>
      </c>
      <c r="L192">
        <v>76798</v>
      </c>
      <c r="M192" s="4">
        <v>41913</v>
      </c>
      <c r="N192">
        <v>10</v>
      </c>
      <c r="O192" t="s">
        <v>30</v>
      </c>
      <c r="P192" t="s">
        <v>15</v>
      </c>
      <c r="Q192" s="9">
        <f t="shared" si="6"/>
        <v>0.13194444444444445</v>
      </c>
      <c r="R192" s="9">
        <f t="shared" si="7"/>
        <v>0.86805555555555558</v>
      </c>
      <c r="V192" t="str">
        <f t="shared" si="8"/>
        <v>Good Performance</v>
      </c>
    </row>
    <row r="193" spans="1:22" x14ac:dyDescent="0.25">
      <c r="A193" t="s">
        <v>9</v>
      </c>
      <c r="B193" t="s">
        <v>20</v>
      </c>
      <c r="C193" t="s">
        <v>39</v>
      </c>
      <c r="D193" t="s">
        <v>46</v>
      </c>
      <c r="E193">
        <v>1138</v>
      </c>
      <c r="F193">
        <v>5</v>
      </c>
      <c r="G193">
        <v>125</v>
      </c>
      <c r="H193">
        <v>142250</v>
      </c>
      <c r="I193">
        <v>5690</v>
      </c>
      <c r="J193">
        <v>136560</v>
      </c>
      <c r="K193">
        <v>136560</v>
      </c>
      <c r="L193">
        <v>0</v>
      </c>
      <c r="M193" s="4">
        <v>41974</v>
      </c>
      <c r="N193">
        <v>12</v>
      </c>
      <c r="O193" t="s">
        <v>32</v>
      </c>
      <c r="P193" t="s">
        <v>15</v>
      </c>
      <c r="Q193" s="9">
        <f t="shared" si="6"/>
        <v>0</v>
      </c>
      <c r="R193" s="9">
        <f t="shared" si="7"/>
        <v>1</v>
      </c>
      <c r="V193" t="str">
        <f t="shared" si="8"/>
        <v>Under Review</v>
      </c>
    </row>
    <row r="194" spans="1:22" x14ac:dyDescent="0.25">
      <c r="A194" t="s">
        <v>10</v>
      </c>
      <c r="B194" t="s">
        <v>16</v>
      </c>
      <c r="C194" t="s">
        <v>40</v>
      </c>
      <c r="D194" t="s">
        <v>46</v>
      </c>
      <c r="E194">
        <v>4251</v>
      </c>
      <c r="F194">
        <v>10</v>
      </c>
      <c r="G194">
        <v>7</v>
      </c>
      <c r="H194">
        <v>29757</v>
      </c>
      <c r="I194">
        <v>1190.28</v>
      </c>
      <c r="J194">
        <v>28566.720000000001</v>
      </c>
      <c r="K194">
        <v>21255</v>
      </c>
      <c r="L194">
        <v>7311.7199999999993</v>
      </c>
      <c r="M194" s="4">
        <v>41640</v>
      </c>
      <c r="N194">
        <v>1</v>
      </c>
      <c r="O194" t="s">
        <v>21</v>
      </c>
      <c r="P194" t="s">
        <v>15</v>
      </c>
      <c r="Q194" s="9">
        <f t="shared" si="6"/>
        <v>0.25595238095238093</v>
      </c>
      <c r="R194" s="9">
        <f t="shared" si="7"/>
        <v>0.74404761904761907</v>
      </c>
      <c r="V194" t="str">
        <f t="shared" si="8"/>
        <v>Good Performance</v>
      </c>
    </row>
    <row r="195" spans="1:22" x14ac:dyDescent="0.25">
      <c r="A195" t="s">
        <v>9</v>
      </c>
      <c r="B195" t="s">
        <v>19</v>
      </c>
      <c r="C195" t="s">
        <v>40</v>
      </c>
      <c r="D195" t="s">
        <v>46</v>
      </c>
      <c r="E195">
        <v>795</v>
      </c>
      <c r="F195">
        <v>10</v>
      </c>
      <c r="G195">
        <v>125</v>
      </c>
      <c r="H195">
        <v>99375</v>
      </c>
      <c r="I195">
        <v>3975</v>
      </c>
      <c r="J195">
        <v>95400</v>
      </c>
      <c r="K195">
        <v>95400</v>
      </c>
      <c r="L195">
        <v>0</v>
      </c>
      <c r="M195" s="4">
        <v>41699</v>
      </c>
      <c r="N195">
        <v>3</v>
      </c>
      <c r="O195" t="s">
        <v>23</v>
      </c>
      <c r="P195" t="s">
        <v>15</v>
      </c>
      <c r="Q195" s="9">
        <f t="shared" ref="Q195:Q258" si="9">L195/J195</f>
        <v>0</v>
      </c>
      <c r="R195" s="9">
        <f t="shared" ref="R195:R258" si="10">K195/J195</f>
        <v>1</v>
      </c>
      <c r="V195" t="str">
        <f t="shared" ref="V195:V258" si="11">IF(Q195&lt;0.1, "Under Review", "Good Performance")</f>
        <v>Under Review</v>
      </c>
    </row>
    <row r="196" spans="1:22" x14ac:dyDescent="0.25">
      <c r="A196" t="s">
        <v>7</v>
      </c>
      <c r="B196" t="s">
        <v>19</v>
      </c>
      <c r="C196" t="s">
        <v>40</v>
      </c>
      <c r="D196" t="s">
        <v>46</v>
      </c>
      <c r="E196">
        <v>1414.5</v>
      </c>
      <c r="F196">
        <v>10</v>
      </c>
      <c r="G196">
        <v>300</v>
      </c>
      <c r="H196">
        <v>424350</v>
      </c>
      <c r="I196">
        <v>16974</v>
      </c>
      <c r="J196">
        <v>407376</v>
      </c>
      <c r="K196">
        <v>353625</v>
      </c>
      <c r="L196">
        <v>53751</v>
      </c>
      <c r="M196" s="4">
        <v>41730</v>
      </c>
      <c r="N196">
        <v>4</v>
      </c>
      <c r="O196" t="s">
        <v>24</v>
      </c>
      <c r="P196" t="s">
        <v>15</v>
      </c>
      <c r="Q196" s="9">
        <f t="shared" si="9"/>
        <v>0.13194444444444445</v>
      </c>
      <c r="R196" s="9">
        <f t="shared" si="10"/>
        <v>0.86805555555555558</v>
      </c>
      <c r="V196" t="str">
        <f t="shared" si="11"/>
        <v>Good Performance</v>
      </c>
    </row>
    <row r="197" spans="1:22" x14ac:dyDescent="0.25">
      <c r="A197" t="s">
        <v>7</v>
      </c>
      <c r="B197" t="s">
        <v>17</v>
      </c>
      <c r="C197" t="s">
        <v>40</v>
      </c>
      <c r="D197" t="s">
        <v>46</v>
      </c>
      <c r="E197">
        <v>2918</v>
      </c>
      <c r="F197">
        <v>10</v>
      </c>
      <c r="G197">
        <v>300</v>
      </c>
      <c r="H197">
        <v>875400</v>
      </c>
      <c r="I197">
        <v>35016</v>
      </c>
      <c r="J197">
        <v>840384</v>
      </c>
      <c r="K197">
        <v>729500</v>
      </c>
      <c r="L197">
        <v>110884</v>
      </c>
      <c r="M197" s="4">
        <v>41760</v>
      </c>
      <c r="N197">
        <v>5</v>
      </c>
      <c r="O197" t="s">
        <v>25</v>
      </c>
      <c r="P197" t="s">
        <v>15</v>
      </c>
      <c r="Q197" s="9">
        <f t="shared" si="9"/>
        <v>0.13194444444444445</v>
      </c>
      <c r="R197" s="9">
        <f t="shared" si="10"/>
        <v>0.86805555555555558</v>
      </c>
      <c r="V197" t="str">
        <f t="shared" si="11"/>
        <v>Good Performance</v>
      </c>
    </row>
    <row r="198" spans="1:22" x14ac:dyDescent="0.25">
      <c r="A198" t="s">
        <v>10</v>
      </c>
      <c r="B198" t="s">
        <v>17</v>
      </c>
      <c r="C198" t="s">
        <v>40</v>
      </c>
      <c r="D198" t="s">
        <v>46</v>
      </c>
      <c r="E198">
        <v>3450</v>
      </c>
      <c r="F198">
        <v>10</v>
      </c>
      <c r="G198">
        <v>350</v>
      </c>
      <c r="H198">
        <v>1207500</v>
      </c>
      <c r="I198">
        <v>48300</v>
      </c>
      <c r="J198">
        <v>1159200</v>
      </c>
      <c r="K198">
        <v>897000</v>
      </c>
      <c r="L198">
        <v>262200</v>
      </c>
      <c r="M198" s="4">
        <v>41821</v>
      </c>
      <c r="N198">
        <v>7</v>
      </c>
      <c r="O198" t="s">
        <v>27</v>
      </c>
      <c r="P198" t="s">
        <v>15</v>
      </c>
      <c r="Q198" s="9">
        <f t="shared" si="9"/>
        <v>0.22619047619047619</v>
      </c>
      <c r="R198" s="9">
        <f t="shared" si="10"/>
        <v>0.77380952380952384</v>
      </c>
      <c r="V198" t="str">
        <f t="shared" si="11"/>
        <v>Good Performance</v>
      </c>
    </row>
    <row r="199" spans="1:22" x14ac:dyDescent="0.25">
      <c r="A199" t="s">
        <v>9</v>
      </c>
      <c r="B199" t="s">
        <v>18</v>
      </c>
      <c r="C199" t="s">
        <v>40</v>
      </c>
      <c r="D199" t="s">
        <v>46</v>
      </c>
      <c r="E199">
        <v>2988</v>
      </c>
      <c r="F199">
        <v>10</v>
      </c>
      <c r="G199">
        <v>125</v>
      </c>
      <c r="H199">
        <v>373500</v>
      </c>
      <c r="I199">
        <v>14940</v>
      </c>
      <c r="J199">
        <v>358560</v>
      </c>
      <c r="K199">
        <v>358560</v>
      </c>
      <c r="L199">
        <v>0</v>
      </c>
      <c r="M199" s="4">
        <v>41821</v>
      </c>
      <c r="N199">
        <v>7</v>
      </c>
      <c r="O199" t="s">
        <v>27</v>
      </c>
      <c r="P199" t="s">
        <v>15</v>
      </c>
      <c r="Q199" s="9">
        <f t="shared" si="9"/>
        <v>0</v>
      </c>
      <c r="R199" s="9">
        <f t="shared" si="10"/>
        <v>1</v>
      </c>
      <c r="V199" t="str">
        <f t="shared" si="11"/>
        <v>Under Review</v>
      </c>
    </row>
    <row r="200" spans="1:22" x14ac:dyDescent="0.25">
      <c r="A200" t="s">
        <v>8</v>
      </c>
      <c r="B200" t="s">
        <v>16</v>
      </c>
      <c r="C200" t="s">
        <v>40</v>
      </c>
      <c r="D200" t="s">
        <v>46</v>
      </c>
      <c r="E200">
        <v>218</v>
      </c>
      <c r="F200">
        <v>10</v>
      </c>
      <c r="G200">
        <v>15</v>
      </c>
      <c r="H200">
        <v>3270</v>
      </c>
      <c r="I200">
        <v>130.80000000000001</v>
      </c>
      <c r="J200">
        <v>3139.2</v>
      </c>
      <c r="K200">
        <v>2180</v>
      </c>
      <c r="L200">
        <v>959.19999999999982</v>
      </c>
      <c r="M200" s="4">
        <v>41883</v>
      </c>
      <c r="N200">
        <v>9</v>
      </c>
      <c r="O200" t="s">
        <v>29</v>
      </c>
      <c r="P200" t="s">
        <v>15</v>
      </c>
      <c r="Q200" s="9">
        <f t="shared" si="9"/>
        <v>0.30555555555555552</v>
      </c>
      <c r="R200" s="9">
        <f t="shared" si="10"/>
        <v>0.69444444444444453</v>
      </c>
      <c r="V200" t="str">
        <f t="shared" si="11"/>
        <v>Good Performance</v>
      </c>
    </row>
    <row r="201" spans="1:22" x14ac:dyDescent="0.25">
      <c r="A201" t="s">
        <v>10</v>
      </c>
      <c r="B201" t="s">
        <v>16</v>
      </c>
      <c r="C201" t="s">
        <v>40</v>
      </c>
      <c r="D201" t="s">
        <v>46</v>
      </c>
      <c r="E201">
        <v>2074</v>
      </c>
      <c r="F201">
        <v>10</v>
      </c>
      <c r="G201">
        <v>20</v>
      </c>
      <c r="H201">
        <v>41480</v>
      </c>
      <c r="I201">
        <v>1659.2</v>
      </c>
      <c r="J201">
        <v>39820.800000000003</v>
      </c>
      <c r="K201">
        <v>20740</v>
      </c>
      <c r="L201">
        <v>19080.800000000003</v>
      </c>
      <c r="M201" s="4">
        <v>41883</v>
      </c>
      <c r="N201">
        <v>9</v>
      </c>
      <c r="O201" t="s">
        <v>29</v>
      </c>
      <c r="P201" t="s">
        <v>15</v>
      </c>
      <c r="Q201" s="9">
        <f t="shared" si="9"/>
        <v>0.47916666666666669</v>
      </c>
      <c r="R201" s="9">
        <f t="shared" si="10"/>
        <v>0.52083333333333326</v>
      </c>
      <c r="V201" t="str">
        <f t="shared" si="11"/>
        <v>Good Performance</v>
      </c>
    </row>
    <row r="202" spans="1:22" x14ac:dyDescent="0.25">
      <c r="A202" t="s">
        <v>10</v>
      </c>
      <c r="B202" t="s">
        <v>17</v>
      </c>
      <c r="C202" t="s">
        <v>40</v>
      </c>
      <c r="D202" t="s">
        <v>46</v>
      </c>
      <c r="E202">
        <v>1056</v>
      </c>
      <c r="F202">
        <v>10</v>
      </c>
      <c r="G202">
        <v>20</v>
      </c>
      <c r="H202">
        <v>21120</v>
      </c>
      <c r="I202">
        <v>844.8</v>
      </c>
      <c r="J202">
        <v>20275.2</v>
      </c>
      <c r="K202">
        <v>10560</v>
      </c>
      <c r="L202">
        <v>9715.2000000000007</v>
      </c>
      <c r="M202" s="4">
        <v>41883</v>
      </c>
      <c r="N202">
        <v>9</v>
      </c>
      <c r="O202" t="s">
        <v>29</v>
      </c>
      <c r="P202" t="s">
        <v>15</v>
      </c>
      <c r="Q202" s="9">
        <f t="shared" si="9"/>
        <v>0.47916666666666669</v>
      </c>
      <c r="R202" s="9">
        <f t="shared" si="10"/>
        <v>0.52083333333333326</v>
      </c>
      <c r="V202" t="str">
        <f t="shared" si="11"/>
        <v>Good Performance</v>
      </c>
    </row>
    <row r="203" spans="1:22" x14ac:dyDescent="0.25">
      <c r="A203" t="s">
        <v>8</v>
      </c>
      <c r="B203" t="s">
        <v>17</v>
      </c>
      <c r="C203" t="s">
        <v>40</v>
      </c>
      <c r="D203" t="s">
        <v>46</v>
      </c>
      <c r="E203">
        <v>671</v>
      </c>
      <c r="F203">
        <v>10</v>
      </c>
      <c r="G203">
        <v>15</v>
      </c>
      <c r="H203">
        <v>10065</v>
      </c>
      <c r="I203">
        <v>402.6</v>
      </c>
      <c r="J203">
        <v>9662.4</v>
      </c>
      <c r="K203">
        <v>6710</v>
      </c>
      <c r="L203">
        <v>2952.3999999999996</v>
      </c>
      <c r="M203" s="4">
        <v>41548</v>
      </c>
      <c r="N203">
        <v>10</v>
      </c>
      <c r="O203" t="s">
        <v>30</v>
      </c>
      <c r="P203" t="s">
        <v>14</v>
      </c>
      <c r="Q203" s="9">
        <f t="shared" si="9"/>
        <v>0.30555555555555552</v>
      </c>
      <c r="R203" s="9">
        <f t="shared" si="10"/>
        <v>0.69444444444444442</v>
      </c>
      <c r="V203" t="str">
        <f t="shared" si="11"/>
        <v>Good Performance</v>
      </c>
    </row>
    <row r="204" spans="1:22" x14ac:dyDescent="0.25">
      <c r="A204" t="s">
        <v>8</v>
      </c>
      <c r="B204" t="s">
        <v>20</v>
      </c>
      <c r="C204" t="s">
        <v>40</v>
      </c>
      <c r="D204" t="s">
        <v>46</v>
      </c>
      <c r="E204">
        <v>1514</v>
      </c>
      <c r="F204">
        <v>10</v>
      </c>
      <c r="G204">
        <v>15</v>
      </c>
      <c r="H204">
        <v>22710</v>
      </c>
      <c r="I204">
        <v>908.4</v>
      </c>
      <c r="J204">
        <v>21801.599999999999</v>
      </c>
      <c r="K204">
        <v>15140</v>
      </c>
      <c r="L204">
        <v>6661.5999999999985</v>
      </c>
      <c r="M204" s="4">
        <v>41548</v>
      </c>
      <c r="N204">
        <v>10</v>
      </c>
      <c r="O204" t="s">
        <v>30</v>
      </c>
      <c r="P204" t="s">
        <v>14</v>
      </c>
      <c r="Q204" s="9">
        <f t="shared" si="9"/>
        <v>0.30555555555555552</v>
      </c>
      <c r="R204" s="9">
        <f t="shared" si="10"/>
        <v>0.69444444444444453</v>
      </c>
      <c r="V204" t="str">
        <f t="shared" si="11"/>
        <v>Good Performance</v>
      </c>
    </row>
    <row r="205" spans="1:22" x14ac:dyDescent="0.25">
      <c r="A205" t="s">
        <v>10</v>
      </c>
      <c r="B205" t="s">
        <v>17</v>
      </c>
      <c r="C205" t="s">
        <v>40</v>
      </c>
      <c r="D205" t="s">
        <v>46</v>
      </c>
      <c r="E205">
        <v>274</v>
      </c>
      <c r="F205">
        <v>10</v>
      </c>
      <c r="G205">
        <v>350</v>
      </c>
      <c r="H205">
        <v>95900</v>
      </c>
      <c r="I205">
        <v>3836</v>
      </c>
      <c r="J205">
        <v>92064</v>
      </c>
      <c r="K205">
        <v>71240</v>
      </c>
      <c r="L205">
        <v>20824</v>
      </c>
      <c r="M205" s="4">
        <v>41974</v>
      </c>
      <c r="N205">
        <v>12</v>
      </c>
      <c r="O205" t="s">
        <v>32</v>
      </c>
      <c r="P205" t="s">
        <v>15</v>
      </c>
      <c r="Q205" s="9">
        <f t="shared" si="9"/>
        <v>0.22619047619047619</v>
      </c>
      <c r="R205" s="9">
        <f t="shared" si="10"/>
        <v>0.77380952380952384</v>
      </c>
      <c r="V205" t="str">
        <f t="shared" si="11"/>
        <v>Good Performance</v>
      </c>
    </row>
    <row r="206" spans="1:22" x14ac:dyDescent="0.25">
      <c r="A206" t="s">
        <v>9</v>
      </c>
      <c r="B206" t="s">
        <v>20</v>
      </c>
      <c r="C206" t="s">
        <v>40</v>
      </c>
      <c r="D206" t="s">
        <v>46</v>
      </c>
      <c r="E206">
        <v>1138</v>
      </c>
      <c r="F206">
        <v>10</v>
      </c>
      <c r="G206">
        <v>125</v>
      </c>
      <c r="H206">
        <v>142250</v>
      </c>
      <c r="I206">
        <v>5690</v>
      </c>
      <c r="J206">
        <v>136560</v>
      </c>
      <c r="K206">
        <v>136560</v>
      </c>
      <c r="L206">
        <v>0</v>
      </c>
      <c r="M206" s="4">
        <v>41974</v>
      </c>
      <c r="N206">
        <v>12</v>
      </c>
      <c r="O206" t="s">
        <v>32</v>
      </c>
      <c r="P206" t="s">
        <v>15</v>
      </c>
      <c r="Q206" s="9">
        <f t="shared" si="9"/>
        <v>0</v>
      </c>
      <c r="R206" s="9">
        <f t="shared" si="10"/>
        <v>1</v>
      </c>
      <c r="V206" t="str">
        <f t="shared" si="11"/>
        <v>Under Review</v>
      </c>
    </row>
    <row r="207" spans="1:22" x14ac:dyDescent="0.25">
      <c r="A207" t="s">
        <v>11</v>
      </c>
      <c r="B207" t="s">
        <v>17</v>
      </c>
      <c r="C207" t="s">
        <v>41</v>
      </c>
      <c r="D207" t="s">
        <v>46</v>
      </c>
      <c r="E207">
        <v>1465</v>
      </c>
      <c r="F207">
        <v>120</v>
      </c>
      <c r="G207">
        <v>12</v>
      </c>
      <c r="H207">
        <v>17580</v>
      </c>
      <c r="I207">
        <v>703.2</v>
      </c>
      <c r="J207">
        <v>16876.8</v>
      </c>
      <c r="K207">
        <v>4395</v>
      </c>
      <c r="L207">
        <v>12481.8</v>
      </c>
      <c r="M207" s="4">
        <v>41699</v>
      </c>
      <c r="N207">
        <v>3</v>
      </c>
      <c r="O207" t="s">
        <v>23</v>
      </c>
      <c r="P207" t="s">
        <v>15</v>
      </c>
      <c r="Q207" s="9">
        <f t="shared" si="9"/>
        <v>0.73958333333333337</v>
      </c>
      <c r="R207" s="9">
        <f t="shared" si="10"/>
        <v>0.26041666666666669</v>
      </c>
      <c r="V207" t="str">
        <f t="shared" si="11"/>
        <v>Good Performance</v>
      </c>
    </row>
    <row r="208" spans="1:22" x14ac:dyDescent="0.25">
      <c r="A208" t="s">
        <v>10</v>
      </c>
      <c r="B208" t="s">
        <v>16</v>
      </c>
      <c r="C208" t="s">
        <v>41</v>
      </c>
      <c r="D208" t="s">
        <v>46</v>
      </c>
      <c r="E208">
        <v>2646</v>
      </c>
      <c r="F208">
        <v>120</v>
      </c>
      <c r="G208">
        <v>20</v>
      </c>
      <c r="H208">
        <v>52920</v>
      </c>
      <c r="I208">
        <v>2116.8000000000002</v>
      </c>
      <c r="J208">
        <v>50803.199999999997</v>
      </c>
      <c r="K208">
        <v>26460</v>
      </c>
      <c r="L208">
        <v>24343.199999999997</v>
      </c>
      <c r="M208" s="4">
        <v>41518</v>
      </c>
      <c r="N208">
        <v>9</v>
      </c>
      <c r="O208" t="s">
        <v>29</v>
      </c>
      <c r="P208" t="s">
        <v>14</v>
      </c>
      <c r="Q208" s="9">
        <f t="shared" si="9"/>
        <v>0.47916666666666663</v>
      </c>
      <c r="R208" s="9">
        <f t="shared" si="10"/>
        <v>0.52083333333333337</v>
      </c>
      <c r="V208" t="str">
        <f t="shared" si="11"/>
        <v>Good Performance</v>
      </c>
    </row>
    <row r="209" spans="1:22" x14ac:dyDescent="0.25">
      <c r="A209" t="s">
        <v>10</v>
      </c>
      <c r="B209" t="s">
        <v>18</v>
      </c>
      <c r="C209" t="s">
        <v>41</v>
      </c>
      <c r="D209" t="s">
        <v>46</v>
      </c>
      <c r="E209">
        <v>2177</v>
      </c>
      <c r="F209">
        <v>120</v>
      </c>
      <c r="G209">
        <v>350</v>
      </c>
      <c r="H209">
        <v>761950</v>
      </c>
      <c r="I209">
        <v>30478</v>
      </c>
      <c r="J209">
        <v>731472</v>
      </c>
      <c r="K209">
        <v>566020</v>
      </c>
      <c r="L209">
        <v>165452</v>
      </c>
      <c r="M209" s="4">
        <v>41913</v>
      </c>
      <c r="N209">
        <v>10</v>
      </c>
      <c r="O209" t="s">
        <v>30</v>
      </c>
      <c r="P209" t="s">
        <v>15</v>
      </c>
      <c r="Q209" s="9">
        <f t="shared" si="9"/>
        <v>0.22619047619047619</v>
      </c>
      <c r="R209" s="9">
        <f t="shared" si="10"/>
        <v>0.77380952380952384</v>
      </c>
      <c r="V209" t="str">
        <f t="shared" si="11"/>
        <v>Good Performance</v>
      </c>
    </row>
    <row r="210" spans="1:22" x14ac:dyDescent="0.25">
      <c r="A210" t="s">
        <v>11</v>
      </c>
      <c r="B210" t="s">
        <v>18</v>
      </c>
      <c r="C210" t="s">
        <v>42</v>
      </c>
      <c r="D210" t="s">
        <v>46</v>
      </c>
      <c r="E210">
        <v>866</v>
      </c>
      <c r="F210">
        <v>250</v>
      </c>
      <c r="G210">
        <v>12</v>
      </c>
      <c r="H210">
        <v>10392</v>
      </c>
      <c r="I210">
        <v>415.68</v>
      </c>
      <c r="J210">
        <v>9976.32</v>
      </c>
      <c r="K210">
        <v>2598</v>
      </c>
      <c r="L210">
        <v>7378.32</v>
      </c>
      <c r="M210" s="4">
        <v>41760</v>
      </c>
      <c r="N210">
        <v>5</v>
      </c>
      <c r="O210" t="s">
        <v>25</v>
      </c>
      <c r="P210" t="s">
        <v>15</v>
      </c>
      <c r="Q210" s="9">
        <f t="shared" si="9"/>
        <v>0.73958333333333337</v>
      </c>
      <c r="R210" s="9">
        <f t="shared" si="10"/>
        <v>0.26041666666666669</v>
      </c>
      <c r="V210" t="str">
        <f t="shared" si="11"/>
        <v>Good Performance</v>
      </c>
    </row>
    <row r="211" spans="1:22" x14ac:dyDescent="0.25">
      <c r="A211" t="s">
        <v>10</v>
      </c>
      <c r="B211" t="s">
        <v>17</v>
      </c>
      <c r="C211" t="s">
        <v>42</v>
      </c>
      <c r="D211" t="s">
        <v>46</v>
      </c>
      <c r="E211">
        <v>349</v>
      </c>
      <c r="F211">
        <v>250</v>
      </c>
      <c r="G211">
        <v>350</v>
      </c>
      <c r="H211">
        <v>122150</v>
      </c>
      <c r="I211">
        <v>4886</v>
      </c>
      <c r="J211">
        <v>117264</v>
      </c>
      <c r="K211">
        <v>90740</v>
      </c>
      <c r="L211">
        <v>26524</v>
      </c>
      <c r="M211" s="4">
        <v>41518</v>
      </c>
      <c r="N211">
        <v>9</v>
      </c>
      <c r="O211" t="s">
        <v>29</v>
      </c>
      <c r="P211" t="s">
        <v>14</v>
      </c>
      <c r="Q211" s="9">
        <f t="shared" si="9"/>
        <v>0.22619047619047619</v>
      </c>
      <c r="R211" s="9">
        <f t="shared" si="10"/>
        <v>0.77380952380952384</v>
      </c>
      <c r="V211" t="str">
        <f t="shared" si="11"/>
        <v>Good Performance</v>
      </c>
    </row>
    <row r="212" spans="1:22" x14ac:dyDescent="0.25">
      <c r="A212" t="s">
        <v>10</v>
      </c>
      <c r="B212" t="s">
        <v>18</v>
      </c>
      <c r="C212" t="s">
        <v>42</v>
      </c>
      <c r="D212" t="s">
        <v>46</v>
      </c>
      <c r="E212">
        <v>2177</v>
      </c>
      <c r="F212">
        <v>250</v>
      </c>
      <c r="G212">
        <v>350</v>
      </c>
      <c r="H212">
        <v>761950</v>
      </c>
      <c r="I212">
        <v>30478</v>
      </c>
      <c r="J212">
        <v>731472</v>
      </c>
      <c r="K212">
        <v>566020</v>
      </c>
      <c r="L212">
        <v>165452</v>
      </c>
      <c r="M212" s="4">
        <v>41913</v>
      </c>
      <c r="N212">
        <v>10</v>
      </c>
      <c r="O212" t="s">
        <v>30</v>
      </c>
      <c r="P212" t="s">
        <v>15</v>
      </c>
      <c r="Q212" s="9">
        <f t="shared" si="9"/>
        <v>0.22619047619047619</v>
      </c>
      <c r="R212" s="9">
        <f t="shared" si="10"/>
        <v>0.77380952380952384</v>
      </c>
      <c r="V212" t="str">
        <f t="shared" si="11"/>
        <v>Good Performance</v>
      </c>
    </row>
    <row r="213" spans="1:22" x14ac:dyDescent="0.25">
      <c r="A213" t="s">
        <v>8</v>
      </c>
      <c r="B213" t="s">
        <v>20</v>
      </c>
      <c r="C213" t="s">
        <v>42</v>
      </c>
      <c r="D213" t="s">
        <v>46</v>
      </c>
      <c r="E213">
        <v>1514</v>
      </c>
      <c r="F213">
        <v>250</v>
      </c>
      <c r="G213">
        <v>15</v>
      </c>
      <c r="H213">
        <v>22710</v>
      </c>
      <c r="I213">
        <v>908.4</v>
      </c>
      <c r="J213">
        <v>21801.599999999999</v>
      </c>
      <c r="K213">
        <v>15140</v>
      </c>
      <c r="L213">
        <v>6661.5999999999985</v>
      </c>
      <c r="M213" s="4">
        <v>41548</v>
      </c>
      <c r="N213">
        <v>10</v>
      </c>
      <c r="O213" t="s">
        <v>30</v>
      </c>
      <c r="P213" t="s">
        <v>14</v>
      </c>
      <c r="Q213" s="9">
        <f t="shared" si="9"/>
        <v>0.30555555555555552</v>
      </c>
      <c r="R213" s="9">
        <f t="shared" si="10"/>
        <v>0.69444444444444453</v>
      </c>
      <c r="V213" t="str">
        <f t="shared" si="11"/>
        <v>Good Performance</v>
      </c>
    </row>
    <row r="214" spans="1:22" x14ac:dyDescent="0.25">
      <c r="A214" t="s">
        <v>10</v>
      </c>
      <c r="B214" t="s">
        <v>20</v>
      </c>
      <c r="C214" t="s">
        <v>43</v>
      </c>
      <c r="D214" t="s">
        <v>46</v>
      </c>
      <c r="E214">
        <v>1865</v>
      </c>
      <c r="F214">
        <v>260</v>
      </c>
      <c r="G214">
        <v>350</v>
      </c>
      <c r="H214">
        <v>652750</v>
      </c>
      <c r="I214">
        <v>26110</v>
      </c>
      <c r="J214">
        <v>626640</v>
      </c>
      <c r="K214">
        <v>484900</v>
      </c>
      <c r="L214">
        <v>141740</v>
      </c>
      <c r="M214" s="4">
        <v>41671</v>
      </c>
      <c r="N214">
        <v>2</v>
      </c>
      <c r="O214" t="s">
        <v>22</v>
      </c>
      <c r="P214" t="s">
        <v>15</v>
      </c>
      <c r="Q214" s="9">
        <f t="shared" si="9"/>
        <v>0.22619047619047619</v>
      </c>
      <c r="R214" s="9">
        <f t="shared" si="10"/>
        <v>0.77380952380952384</v>
      </c>
      <c r="V214" t="str">
        <f t="shared" si="11"/>
        <v>Good Performance</v>
      </c>
    </row>
    <row r="215" spans="1:22" x14ac:dyDescent="0.25">
      <c r="A215" t="s">
        <v>9</v>
      </c>
      <c r="B215" t="s">
        <v>20</v>
      </c>
      <c r="C215" t="s">
        <v>43</v>
      </c>
      <c r="D215" t="s">
        <v>46</v>
      </c>
      <c r="E215">
        <v>1074</v>
      </c>
      <c r="F215">
        <v>260</v>
      </c>
      <c r="G215">
        <v>125</v>
      </c>
      <c r="H215">
        <v>134250</v>
      </c>
      <c r="I215">
        <v>5370</v>
      </c>
      <c r="J215">
        <v>128880</v>
      </c>
      <c r="K215">
        <v>128880</v>
      </c>
      <c r="L215">
        <v>0</v>
      </c>
      <c r="M215" s="4">
        <v>41730</v>
      </c>
      <c r="N215">
        <v>4</v>
      </c>
      <c r="O215" t="s">
        <v>24</v>
      </c>
      <c r="P215" t="s">
        <v>15</v>
      </c>
      <c r="Q215" s="9">
        <f t="shared" si="9"/>
        <v>0</v>
      </c>
      <c r="R215" s="9">
        <f t="shared" si="10"/>
        <v>1</v>
      </c>
      <c r="V215" t="str">
        <f t="shared" si="11"/>
        <v>Under Review</v>
      </c>
    </row>
    <row r="216" spans="1:22" x14ac:dyDescent="0.25">
      <c r="A216" t="s">
        <v>10</v>
      </c>
      <c r="B216" t="s">
        <v>19</v>
      </c>
      <c r="C216" t="s">
        <v>43</v>
      </c>
      <c r="D216" t="s">
        <v>46</v>
      </c>
      <c r="E216">
        <v>1907</v>
      </c>
      <c r="F216">
        <v>260</v>
      </c>
      <c r="G216">
        <v>350</v>
      </c>
      <c r="H216">
        <v>667450</v>
      </c>
      <c r="I216">
        <v>26698</v>
      </c>
      <c r="J216">
        <v>640752</v>
      </c>
      <c r="K216">
        <v>495820</v>
      </c>
      <c r="L216">
        <v>144932</v>
      </c>
      <c r="M216" s="4">
        <v>41883</v>
      </c>
      <c r="N216">
        <v>9</v>
      </c>
      <c r="O216" t="s">
        <v>29</v>
      </c>
      <c r="P216" t="s">
        <v>15</v>
      </c>
      <c r="Q216" s="9">
        <f t="shared" si="9"/>
        <v>0.22619047619047619</v>
      </c>
      <c r="R216" s="9">
        <f t="shared" si="10"/>
        <v>0.77380952380952384</v>
      </c>
      <c r="V216" t="str">
        <f t="shared" si="11"/>
        <v>Good Performance</v>
      </c>
    </row>
    <row r="217" spans="1:22" x14ac:dyDescent="0.25">
      <c r="A217" t="s">
        <v>8</v>
      </c>
      <c r="B217" t="s">
        <v>17</v>
      </c>
      <c r="C217" t="s">
        <v>43</v>
      </c>
      <c r="D217" t="s">
        <v>46</v>
      </c>
      <c r="E217">
        <v>671</v>
      </c>
      <c r="F217">
        <v>260</v>
      </c>
      <c r="G217">
        <v>15</v>
      </c>
      <c r="H217">
        <v>10065</v>
      </c>
      <c r="I217">
        <v>402.6</v>
      </c>
      <c r="J217">
        <v>9662.4</v>
      </c>
      <c r="K217">
        <v>6710</v>
      </c>
      <c r="L217">
        <v>2952.3999999999996</v>
      </c>
      <c r="M217" s="4">
        <v>41548</v>
      </c>
      <c r="N217">
        <v>10</v>
      </c>
      <c r="O217" t="s">
        <v>30</v>
      </c>
      <c r="P217" t="s">
        <v>14</v>
      </c>
      <c r="Q217" s="9">
        <f t="shared" si="9"/>
        <v>0.30555555555555552</v>
      </c>
      <c r="R217" s="9">
        <f t="shared" si="10"/>
        <v>0.69444444444444442</v>
      </c>
      <c r="V217" t="str">
        <f t="shared" si="11"/>
        <v>Good Performance</v>
      </c>
    </row>
    <row r="218" spans="1:22" x14ac:dyDescent="0.25">
      <c r="A218" t="s">
        <v>10</v>
      </c>
      <c r="B218" t="s">
        <v>16</v>
      </c>
      <c r="C218" t="s">
        <v>43</v>
      </c>
      <c r="D218" t="s">
        <v>46</v>
      </c>
      <c r="E218">
        <v>1778</v>
      </c>
      <c r="F218">
        <v>260</v>
      </c>
      <c r="G218">
        <v>350</v>
      </c>
      <c r="H218">
        <v>622300</v>
      </c>
      <c r="I218">
        <v>24892</v>
      </c>
      <c r="J218">
        <v>597408</v>
      </c>
      <c r="K218">
        <v>462280</v>
      </c>
      <c r="L218">
        <v>135128</v>
      </c>
      <c r="M218" s="4">
        <v>41609</v>
      </c>
      <c r="N218">
        <v>12</v>
      </c>
      <c r="O218" t="s">
        <v>32</v>
      </c>
      <c r="P218" t="s">
        <v>14</v>
      </c>
      <c r="Q218" s="9">
        <f t="shared" si="9"/>
        <v>0.22619047619047619</v>
      </c>
      <c r="R218" s="9">
        <f t="shared" si="10"/>
        <v>0.77380952380952384</v>
      </c>
      <c r="V218" t="str">
        <f t="shared" si="11"/>
        <v>Good Performance</v>
      </c>
    </row>
    <row r="219" spans="1:22" x14ac:dyDescent="0.25">
      <c r="A219" t="s">
        <v>10</v>
      </c>
      <c r="B219" t="s">
        <v>19</v>
      </c>
      <c r="C219" t="s">
        <v>39</v>
      </c>
      <c r="D219" t="s">
        <v>47</v>
      </c>
      <c r="E219">
        <v>1159</v>
      </c>
      <c r="F219">
        <v>5</v>
      </c>
      <c r="G219">
        <v>7</v>
      </c>
      <c r="H219">
        <v>8113</v>
      </c>
      <c r="I219">
        <v>405.65</v>
      </c>
      <c r="J219">
        <v>7707.35</v>
      </c>
      <c r="K219">
        <v>5795</v>
      </c>
      <c r="L219">
        <v>1912.3500000000004</v>
      </c>
      <c r="M219" s="4">
        <v>41548</v>
      </c>
      <c r="N219">
        <v>10</v>
      </c>
      <c r="O219" t="s">
        <v>30</v>
      </c>
      <c r="P219" t="s">
        <v>14</v>
      </c>
      <c r="Q219" s="9">
        <f t="shared" si="9"/>
        <v>0.24812030075187974</v>
      </c>
      <c r="R219" s="9">
        <f t="shared" si="10"/>
        <v>0.75187969924812026</v>
      </c>
      <c r="V219" t="str">
        <f t="shared" si="11"/>
        <v>Good Performance</v>
      </c>
    </row>
    <row r="220" spans="1:22" x14ac:dyDescent="0.25">
      <c r="A220" t="s">
        <v>10</v>
      </c>
      <c r="B220" t="s">
        <v>19</v>
      </c>
      <c r="C220" t="s">
        <v>40</v>
      </c>
      <c r="D220" t="s">
        <v>47</v>
      </c>
      <c r="E220">
        <v>1372</v>
      </c>
      <c r="F220">
        <v>10</v>
      </c>
      <c r="G220">
        <v>7</v>
      </c>
      <c r="H220">
        <v>9604</v>
      </c>
      <c r="I220">
        <v>480.2</v>
      </c>
      <c r="J220">
        <v>9123.7999999999993</v>
      </c>
      <c r="K220">
        <v>6860</v>
      </c>
      <c r="L220">
        <v>2263.7999999999993</v>
      </c>
      <c r="M220" s="4">
        <v>41640</v>
      </c>
      <c r="N220">
        <v>1</v>
      </c>
      <c r="O220" t="s">
        <v>21</v>
      </c>
      <c r="P220" t="s">
        <v>15</v>
      </c>
      <c r="Q220" s="9">
        <f t="shared" si="9"/>
        <v>0.24812030075187963</v>
      </c>
      <c r="R220" s="9">
        <f t="shared" si="10"/>
        <v>0.75187969924812037</v>
      </c>
      <c r="V220" t="str">
        <f t="shared" si="11"/>
        <v>Good Performance</v>
      </c>
    </row>
    <row r="221" spans="1:22" x14ac:dyDescent="0.25">
      <c r="A221" t="s">
        <v>10</v>
      </c>
      <c r="B221" t="s">
        <v>16</v>
      </c>
      <c r="C221" t="s">
        <v>40</v>
      </c>
      <c r="D221" t="s">
        <v>47</v>
      </c>
      <c r="E221">
        <v>2349</v>
      </c>
      <c r="F221">
        <v>10</v>
      </c>
      <c r="G221">
        <v>7</v>
      </c>
      <c r="H221">
        <v>16443</v>
      </c>
      <c r="I221">
        <v>822.15</v>
      </c>
      <c r="J221">
        <v>15620.85</v>
      </c>
      <c r="K221">
        <v>11745</v>
      </c>
      <c r="L221">
        <v>3875.8500000000004</v>
      </c>
      <c r="M221" s="4">
        <v>41518</v>
      </c>
      <c r="N221">
        <v>9</v>
      </c>
      <c r="O221" t="s">
        <v>29</v>
      </c>
      <c r="P221" t="s">
        <v>14</v>
      </c>
      <c r="Q221" s="9">
        <f t="shared" si="9"/>
        <v>0.24812030075187971</v>
      </c>
      <c r="R221" s="9">
        <f t="shared" si="10"/>
        <v>0.75187969924812026</v>
      </c>
      <c r="V221" t="str">
        <f t="shared" si="11"/>
        <v>Good Performance</v>
      </c>
    </row>
    <row r="222" spans="1:22" x14ac:dyDescent="0.25">
      <c r="A222" t="s">
        <v>10</v>
      </c>
      <c r="B222" t="s">
        <v>20</v>
      </c>
      <c r="C222" t="s">
        <v>40</v>
      </c>
      <c r="D222" t="s">
        <v>47</v>
      </c>
      <c r="E222">
        <v>2689</v>
      </c>
      <c r="F222">
        <v>10</v>
      </c>
      <c r="G222">
        <v>7</v>
      </c>
      <c r="H222">
        <v>18823</v>
      </c>
      <c r="I222">
        <v>941.15</v>
      </c>
      <c r="J222">
        <v>17881.849999999999</v>
      </c>
      <c r="K222">
        <v>13445</v>
      </c>
      <c r="L222">
        <v>4436.8499999999985</v>
      </c>
      <c r="M222" s="4">
        <v>41913</v>
      </c>
      <c r="N222">
        <v>10</v>
      </c>
      <c r="O222" t="s">
        <v>30</v>
      </c>
      <c r="P222" t="s">
        <v>15</v>
      </c>
      <c r="Q222" s="9">
        <f t="shared" si="9"/>
        <v>0.24812030075187963</v>
      </c>
      <c r="R222" s="9">
        <f t="shared" si="10"/>
        <v>0.75187969924812037</v>
      </c>
      <c r="V222" t="str">
        <f t="shared" si="11"/>
        <v>Good Performance</v>
      </c>
    </row>
    <row r="223" spans="1:22" x14ac:dyDescent="0.25">
      <c r="A223" t="s">
        <v>11</v>
      </c>
      <c r="B223" t="s">
        <v>16</v>
      </c>
      <c r="C223" t="s">
        <v>40</v>
      </c>
      <c r="D223" t="s">
        <v>47</v>
      </c>
      <c r="E223">
        <v>2431</v>
      </c>
      <c r="F223">
        <v>10</v>
      </c>
      <c r="G223">
        <v>12</v>
      </c>
      <c r="H223">
        <v>29172</v>
      </c>
      <c r="I223">
        <v>1458.6</v>
      </c>
      <c r="J223">
        <v>27713.4</v>
      </c>
      <c r="K223">
        <v>7293</v>
      </c>
      <c r="L223">
        <v>20420.400000000001</v>
      </c>
      <c r="M223" s="4">
        <v>41974</v>
      </c>
      <c r="N223">
        <v>12</v>
      </c>
      <c r="O223" t="s">
        <v>32</v>
      </c>
      <c r="P223" t="s">
        <v>15</v>
      </c>
      <c r="Q223" s="9">
        <f t="shared" si="9"/>
        <v>0.73684210526315785</v>
      </c>
      <c r="R223" s="9">
        <f t="shared" si="10"/>
        <v>0.26315789473684209</v>
      </c>
      <c r="V223" t="str">
        <f t="shared" si="11"/>
        <v>Good Performance</v>
      </c>
    </row>
    <row r="224" spans="1:22" x14ac:dyDescent="0.25">
      <c r="A224" t="s">
        <v>11</v>
      </c>
      <c r="B224" t="s">
        <v>16</v>
      </c>
      <c r="C224" t="s">
        <v>41</v>
      </c>
      <c r="D224" t="s">
        <v>47</v>
      </c>
      <c r="E224">
        <v>2431</v>
      </c>
      <c r="F224">
        <v>120</v>
      </c>
      <c r="G224">
        <v>12</v>
      </c>
      <c r="H224">
        <v>29172</v>
      </c>
      <c r="I224">
        <v>1458.6</v>
      </c>
      <c r="J224">
        <v>27713.4</v>
      </c>
      <c r="K224">
        <v>7293</v>
      </c>
      <c r="L224">
        <v>20420.400000000001</v>
      </c>
      <c r="M224" s="4">
        <v>41974</v>
      </c>
      <c r="N224">
        <v>12</v>
      </c>
      <c r="O224" t="s">
        <v>32</v>
      </c>
      <c r="P224" t="s">
        <v>15</v>
      </c>
      <c r="Q224" s="9">
        <f t="shared" si="9"/>
        <v>0.73684210526315785</v>
      </c>
      <c r="R224" s="9">
        <f t="shared" si="10"/>
        <v>0.26315789473684209</v>
      </c>
      <c r="V224" t="str">
        <f t="shared" si="11"/>
        <v>Good Performance</v>
      </c>
    </row>
    <row r="225" spans="1:22" x14ac:dyDescent="0.25">
      <c r="A225" t="s">
        <v>10</v>
      </c>
      <c r="B225" t="s">
        <v>20</v>
      </c>
      <c r="C225" t="s">
        <v>42</v>
      </c>
      <c r="D225" t="s">
        <v>47</v>
      </c>
      <c r="E225">
        <v>2689</v>
      </c>
      <c r="F225">
        <v>250</v>
      </c>
      <c r="G225">
        <v>7</v>
      </c>
      <c r="H225">
        <v>18823</v>
      </c>
      <c r="I225">
        <v>941.15</v>
      </c>
      <c r="J225">
        <v>17881.849999999999</v>
      </c>
      <c r="K225">
        <v>13445</v>
      </c>
      <c r="L225">
        <v>4436.8499999999985</v>
      </c>
      <c r="M225" s="4">
        <v>41913</v>
      </c>
      <c r="N225">
        <v>10</v>
      </c>
      <c r="O225" t="s">
        <v>30</v>
      </c>
      <c r="P225" t="s">
        <v>15</v>
      </c>
      <c r="Q225" s="9">
        <f t="shared" si="9"/>
        <v>0.24812030075187963</v>
      </c>
      <c r="R225" s="9">
        <f t="shared" si="10"/>
        <v>0.75187969924812037</v>
      </c>
      <c r="V225" t="str">
        <f t="shared" si="11"/>
        <v>Good Performance</v>
      </c>
    </row>
    <row r="226" spans="1:22" x14ac:dyDescent="0.25">
      <c r="A226" t="s">
        <v>10</v>
      </c>
      <c r="B226" t="s">
        <v>20</v>
      </c>
      <c r="C226" t="s">
        <v>43</v>
      </c>
      <c r="D226" t="s">
        <v>47</v>
      </c>
      <c r="E226">
        <v>1683</v>
      </c>
      <c r="F226">
        <v>260</v>
      </c>
      <c r="G226">
        <v>7</v>
      </c>
      <c r="H226">
        <v>11781</v>
      </c>
      <c r="I226">
        <v>589.04999999999995</v>
      </c>
      <c r="J226">
        <v>11191.95</v>
      </c>
      <c r="K226">
        <v>8415</v>
      </c>
      <c r="L226">
        <v>2776.9500000000007</v>
      </c>
      <c r="M226" s="4">
        <v>41821</v>
      </c>
      <c r="N226">
        <v>7</v>
      </c>
      <c r="O226" t="s">
        <v>27</v>
      </c>
      <c r="P226" t="s">
        <v>15</v>
      </c>
      <c r="Q226" s="9">
        <f t="shared" si="9"/>
        <v>0.24812030075187974</v>
      </c>
      <c r="R226" s="9">
        <f t="shared" si="10"/>
        <v>0.75187969924812026</v>
      </c>
      <c r="V226" t="str">
        <f t="shared" si="11"/>
        <v>Good Performance</v>
      </c>
    </row>
    <row r="227" spans="1:22" x14ac:dyDescent="0.25">
      <c r="A227" t="s">
        <v>11</v>
      </c>
      <c r="B227" t="s">
        <v>20</v>
      </c>
      <c r="C227" t="s">
        <v>43</v>
      </c>
      <c r="D227" t="s">
        <v>47</v>
      </c>
      <c r="E227">
        <v>1123</v>
      </c>
      <c r="F227">
        <v>260</v>
      </c>
      <c r="G227">
        <v>12</v>
      </c>
      <c r="H227">
        <v>13476</v>
      </c>
      <c r="I227">
        <v>673.8</v>
      </c>
      <c r="J227">
        <v>12802.2</v>
      </c>
      <c r="K227">
        <v>3369</v>
      </c>
      <c r="L227">
        <v>9433.2000000000007</v>
      </c>
      <c r="M227" s="4">
        <v>41852</v>
      </c>
      <c r="N227">
        <v>8</v>
      </c>
      <c r="O227" t="s">
        <v>28</v>
      </c>
      <c r="P227" t="s">
        <v>15</v>
      </c>
      <c r="Q227" s="9">
        <f t="shared" si="9"/>
        <v>0.73684210526315796</v>
      </c>
      <c r="R227" s="9">
        <f t="shared" si="10"/>
        <v>0.26315789473684209</v>
      </c>
      <c r="V227" t="str">
        <f t="shared" si="11"/>
        <v>Good Performance</v>
      </c>
    </row>
    <row r="228" spans="1:22" x14ac:dyDescent="0.25">
      <c r="A228" t="s">
        <v>10</v>
      </c>
      <c r="B228" t="s">
        <v>19</v>
      </c>
      <c r="C228" t="s">
        <v>43</v>
      </c>
      <c r="D228" t="s">
        <v>47</v>
      </c>
      <c r="E228">
        <v>1159</v>
      </c>
      <c r="F228">
        <v>260</v>
      </c>
      <c r="G228">
        <v>7</v>
      </c>
      <c r="H228">
        <v>8113</v>
      </c>
      <c r="I228">
        <v>405.65</v>
      </c>
      <c r="J228">
        <v>7707.35</v>
      </c>
      <c r="K228">
        <v>5795</v>
      </c>
      <c r="L228">
        <v>1912.3500000000004</v>
      </c>
      <c r="M228" s="4">
        <v>41548</v>
      </c>
      <c r="N228">
        <v>10</v>
      </c>
      <c r="O228" t="s">
        <v>30</v>
      </c>
      <c r="P228" t="s">
        <v>14</v>
      </c>
      <c r="Q228" s="9">
        <f t="shared" si="9"/>
        <v>0.24812030075187974</v>
      </c>
      <c r="R228" s="9">
        <f t="shared" si="10"/>
        <v>0.75187969924812026</v>
      </c>
      <c r="V228" t="str">
        <f t="shared" si="11"/>
        <v>Good Performance</v>
      </c>
    </row>
    <row r="229" spans="1:22" x14ac:dyDescent="0.25">
      <c r="A229" t="s">
        <v>11</v>
      </c>
      <c r="B229" t="s">
        <v>18</v>
      </c>
      <c r="C229" t="s">
        <v>38</v>
      </c>
      <c r="D229" t="s">
        <v>47</v>
      </c>
      <c r="E229">
        <v>1865</v>
      </c>
      <c r="F229">
        <v>3</v>
      </c>
      <c r="G229">
        <v>12</v>
      </c>
      <c r="H229">
        <v>22380</v>
      </c>
      <c r="I229">
        <v>1119</v>
      </c>
      <c r="J229">
        <v>21261</v>
      </c>
      <c r="K229">
        <v>5595</v>
      </c>
      <c r="L229">
        <v>15666</v>
      </c>
      <c r="M229" s="4">
        <v>41671</v>
      </c>
      <c r="N229">
        <v>2</v>
      </c>
      <c r="O229" t="s">
        <v>22</v>
      </c>
      <c r="P229" t="s">
        <v>15</v>
      </c>
      <c r="Q229" s="9">
        <f t="shared" si="9"/>
        <v>0.73684210526315785</v>
      </c>
      <c r="R229" s="9">
        <f t="shared" si="10"/>
        <v>0.26315789473684209</v>
      </c>
      <c r="V229" t="str">
        <f t="shared" si="11"/>
        <v>Good Performance</v>
      </c>
    </row>
    <row r="230" spans="1:22" x14ac:dyDescent="0.25">
      <c r="A230" t="s">
        <v>11</v>
      </c>
      <c r="B230" t="s">
        <v>19</v>
      </c>
      <c r="C230" t="s">
        <v>38</v>
      </c>
      <c r="D230" t="s">
        <v>47</v>
      </c>
      <c r="E230">
        <v>1116</v>
      </c>
      <c r="F230">
        <v>3</v>
      </c>
      <c r="G230">
        <v>12</v>
      </c>
      <c r="H230">
        <v>13392</v>
      </c>
      <c r="I230">
        <v>669.6</v>
      </c>
      <c r="J230">
        <v>12722.4</v>
      </c>
      <c r="K230">
        <v>3348</v>
      </c>
      <c r="L230">
        <v>9374.4</v>
      </c>
      <c r="M230" s="4">
        <v>41671</v>
      </c>
      <c r="N230">
        <v>2</v>
      </c>
      <c r="O230" t="s">
        <v>22</v>
      </c>
      <c r="P230" t="s">
        <v>15</v>
      </c>
      <c r="Q230" s="9">
        <f t="shared" si="9"/>
        <v>0.73684210526315785</v>
      </c>
      <c r="R230" s="9">
        <f t="shared" si="10"/>
        <v>0.26315789473684209</v>
      </c>
      <c r="V230" t="str">
        <f t="shared" si="11"/>
        <v>Good Performance</v>
      </c>
    </row>
    <row r="231" spans="1:22" x14ac:dyDescent="0.25">
      <c r="A231" t="s">
        <v>10</v>
      </c>
      <c r="B231" t="s">
        <v>18</v>
      </c>
      <c r="C231" t="s">
        <v>38</v>
      </c>
      <c r="D231" t="s">
        <v>47</v>
      </c>
      <c r="E231">
        <v>1563</v>
      </c>
      <c r="F231">
        <v>3</v>
      </c>
      <c r="G231">
        <v>20</v>
      </c>
      <c r="H231">
        <v>31260</v>
      </c>
      <c r="I231">
        <v>1563</v>
      </c>
      <c r="J231">
        <v>29697</v>
      </c>
      <c r="K231">
        <v>15630</v>
      </c>
      <c r="L231">
        <v>14067</v>
      </c>
      <c r="M231" s="4">
        <v>41760</v>
      </c>
      <c r="N231">
        <v>5</v>
      </c>
      <c r="O231" t="s">
        <v>25</v>
      </c>
      <c r="P231" t="s">
        <v>15</v>
      </c>
      <c r="Q231" s="9">
        <f t="shared" si="9"/>
        <v>0.47368421052631576</v>
      </c>
      <c r="R231" s="9">
        <f t="shared" si="10"/>
        <v>0.52631578947368418</v>
      </c>
      <c r="V231" t="str">
        <f t="shared" si="11"/>
        <v>Good Performance</v>
      </c>
    </row>
    <row r="232" spans="1:22" x14ac:dyDescent="0.25">
      <c r="A232" t="s">
        <v>7</v>
      </c>
      <c r="B232" t="s">
        <v>17</v>
      </c>
      <c r="C232" t="s">
        <v>38</v>
      </c>
      <c r="D232" t="s">
        <v>47</v>
      </c>
      <c r="E232">
        <v>991</v>
      </c>
      <c r="F232">
        <v>3</v>
      </c>
      <c r="G232">
        <v>300</v>
      </c>
      <c r="H232">
        <v>297300</v>
      </c>
      <c r="I232">
        <v>14865</v>
      </c>
      <c r="J232">
        <v>282435</v>
      </c>
      <c r="K232">
        <v>247750</v>
      </c>
      <c r="L232">
        <v>34685</v>
      </c>
      <c r="M232" s="4">
        <v>41791</v>
      </c>
      <c r="N232">
        <v>6</v>
      </c>
      <c r="O232" t="s">
        <v>26</v>
      </c>
      <c r="P232" t="s">
        <v>15</v>
      </c>
      <c r="Q232" s="9">
        <f t="shared" si="9"/>
        <v>0.12280701754385964</v>
      </c>
      <c r="R232" s="9">
        <f t="shared" si="10"/>
        <v>0.8771929824561403</v>
      </c>
      <c r="V232" t="str">
        <f t="shared" si="11"/>
        <v>Good Performance</v>
      </c>
    </row>
    <row r="233" spans="1:22" x14ac:dyDescent="0.25">
      <c r="A233" t="s">
        <v>10</v>
      </c>
      <c r="B233" t="s">
        <v>19</v>
      </c>
      <c r="C233" t="s">
        <v>38</v>
      </c>
      <c r="D233" t="s">
        <v>47</v>
      </c>
      <c r="E233">
        <v>1016</v>
      </c>
      <c r="F233">
        <v>3</v>
      </c>
      <c r="G233">
        <v>7</v>
      </c>
      <c r="H233">
        <v>7112</v>
      </c>
      <c r="I233">
        <v>355.6</v>
      </c>
      <c r="J233">
        <v>6756.4</v>
      </c>
      <c r="K233">
        <v>5080</v>
      </c>
      <c r="L233">
        <v>1676.3999999999996</v>
      </c>
      <c r="M233" s="4">
        <v>41579</v>
      </c>
      <c r="N233">
        <v>11</v>
      </c>
      <c r="O233" t="s">
        <v>31</v>
      </c>
      <c r="P233" t="s">
        <v>14</v>
      </c>
      <c r="Q233" s="9">
        <f t="shared" si="9"/>
        <v>0.24812030075187966</v>
      </c>
      <c r="R233" s="9">
        <f t="shared" si="10"/>
        <v>0.75187969924812037</v>
      </c>
      <c r="V233" t="str">
        <f t="shared" si="11"/>
        <v>Good Performance</v>
      </c>
    </row>
    <row r="234" spans="1:22" x14ac:dyDescent="0.25">
      <c r="A234" t="s">
        <v>8</v>
      </c>
      <c r="B234" t="s">
        <v>20</v>
      </c>
      <c r="C234" t="s">
        <v>38</v>
      </c>
      <c r="D234" t="s">
        <v>47</v>
      </c>
      <c r="E234">
        <v>2791</v>
      </c>
      <c r="F234">
        <v>3</v>
      </c>
      <c r="G234">
        <v>15</v>
      </c>
      <c r="H234">
        <v>41865</v>
      </c>
      <c r="I234">
        <v>2093.25</v>
      </c>
      <c r="J234">
        <v>39771.75</v>
      </c>
      <c r="K234">
        <v>27910</v>
      </c>
      <c r="L234">
        <v>11861.75</v>
      </c>
      <c r="M234" s="4">
        <v>41944</v>
      </c>
      <c r="N234">
        <v>11</v>
      </c>
      <c r="O234" t="s">
        <v>31</v>
      </c>
      <c r="P234" t="s">
        <v>15</v>
      </c>
      <c r="Q234" s="9">
        <f t="shared" si="9"/>
        <v>0.2982456140350877</v>
      </c>
      <c r="R234" s="9">
        <f t="shared" si="10"/>
        <v>0.70175438596491224</v>
      </c>
      <c r="V234" t="str">
        <f t="shared" si="11"/>
        <v>Good Performance</v>
      </c>
    </row>
    <row r="235" spans="1:22" x14ac:dyDescent="0.25">
      <c r="A235" t="s">
        <v>10</v>
      </c>
      <c r="B235" t="s">
        <v>17</v>
      </c>
      <c r="C235" t="s">
        <v>38</v>
      </c>
      <c r="D235" t="s">
        <v>47</v>
      </c>
      <c r="E235">
        <v>570</v>
      </c>
      <c r="F235">
        <v>3</v>
      </c>
      <c r="G235">
        <v>7</v>
      </c>
      <c r="H235">
        <v>3990</v>
      </c>
      <c r="I235">
        <v>199.5</v>
      </c>
      <c r="J235">
        <v>3790.5</v>
      </c>
      <c r="K235">
        <v>2850</v>
      </c>
      <c r="L235">
        <v>940.5</v>
      </c>
      <c r="M235" s="4">
        <v>41974</v>
      </c>
      <c r="N235">
        <v>12</v>
      </c>
      <c r="O235" t="s">
        <v>32</v>
      </c>
      <c r="P235" t="s">
        <v>15</v>
      </c>
      <c r="Q235" s="9">
        <f t="shared" si="9"/>
        <v>0.24812030075187969</v>
      </c>
      <c r="R235" s="9">
        <f t="shared" si="10"/>
        <v>0.75187969924812026</v>
      </c>
      <c r="V235" t="str">
        <f t="shared" si="11"/>
        <v>Good Performance</v>
      </c>
    </row>
    <row r="236" spans="1:22" x14ac:dyDescent="0.25">
      <c r="A236" t="s">
        <v>10</v>
      </c>
      <c r="B236" t="s">
        <v>18</v>
      </c>
      <c r="C236" t="s">
        <v>38</v>
      </c>
      <c r="D236" t="s">
        <v>47</v>
      </c>
      <c r="E236">
        <v>2487</v>
      </c>
      <c r="F236">
        <v>3</v>
      </c>
      <c r="G236">
        <v>7</v>
      </c>
      <c r="H236">
        <v>17409</v>
      </c>
      <c r="I236">
        <v>870.45</v>
      </c>
      <c r="J236">
        <v>16538.55</v>
      </c>
      <c r="K236">
        <v>12435</v>
      </c>
      <c r="L236">
        <v>4103.5499999999993</v>
      </c>
      <c r="M236" s="4">
        <v>41974</v>
      </c>
      <c r="N236">
        <v>12</v>
      </c>
      <c r="O236" t="s">
        <v>32</v>
      </c>
      <c r="P236" t="s">
        <v>15</v>
      </c>
      <c r="Q236" s="9">
        <f t="shared" si="9"/>
        <v>0.24812030075187966</v>
      </c>
      <c r="R236" s="9">
        <f t="shared" si="10"/>
        <v>0.75187969924812037</v>
      </c>
      <c r="V236" t="str">
        <f t="shared" si="11"/>
        <v>Good Performance</v>
      </c>
    </row>
    <row r="237" spans="1:22" x14ac:dyDescent="0.25">
      <c r="A237" t="s">
        <v>10</v>
      </c>
      <c r="B237" t="s">
        <v>18</v>
      </c>
      <c r="C237" t="s">
        <v>39</v>
      </c>
      <c r="D237" t="s">
        <v>47</v>
      </c>
      <c r="E237">
        <v>1384.5</v>
      </c>
      <c r="F237">
        <v>5</v>
      </c>
      <c r="G237">
        <v>350</v>
      </c>
      <c r="H237">
        <v>484575</v>
      </c>
      <c r="I237">
        <v>24228.75</v>
      </c>
      <c r="J237">
        <v>460346.25</v>
      </c>
      <c r="K237">
        <v>359970</v>
      </c>
      <c r="L237">
        <v>100376.25</v>
      </c>
      <c r="M237" s="4">
        <v>41640</v>
      </c>
      <c r="N237">
        <v>1</v>
      </c>
      <c r="O237" t="s">
        <v>21</v>
      </c>
      <c r="P237" t="s">
        <v>15</v>
      </c>
      <c r="Q237" s="9">
        <f t="shared" si="9"/>
        <v>0.21804511278195488</v>
      </c>
      <c r="R237" s="9">
        <f t="shared" si="10"/>
        <v>0.78195488721804507</v>
      </c>
      <c r="V237" t="str">
        <f t="shared" si="11"/>
        <v>Good Performance</v>
      </c>
    </row>
    <row r="238" spans="1:22" x14ac:dyDescent="0.25">
      <c r="A238" t="s">
        <v>9</v>
      </c>
      <c r="B238" t="s">
        <v>17</v>
      </c>
      <c r="C238" t="s">
        <v>39</v>
      </c>
      <c r="D238" t="s">
        <v>47</v>
      </c>
      <c r="E238">
        <v>3627</v>
      </c>
      <c r="F238">
        <v>5</v>
      </c>
      <c r="G238">
        <v>125</v>
      </c>
      <c r="H238">
        <v>453375</v>
      </c>
      <c r="I238">
        <v>22668.75</v>
      </c>
      <c r="J238">
        <v>430706.25</v>
      </c>
      <c r="K238">
        <v>435240</v>
      </c>
      <c r="L238">
        <v>-4533.75</v>
      </c>
      <c r="M238" s="4">
        <v>41821</v>
      </c>
      <c r="N238">
        <v>7</v>
      </c>
      <c r="O238" t="s">
        <v>27</v>
      </c>
      <c r="P238" t="s">
        <v>15</v>
      </c>
      <c r="Q238" s="9">
        <f t="shared" si="9"/>
        <v>-1.0526315789473684E-2</v>
      </c>
      <c r="R238" s="9">
        <f t="shared" si="10"/>
        <v>1.0105263157894737</v>
      </c>
      <c r="V238" t="str">
        <f t="shared" si="11"/>
        <v>Under Review</v>
      </c>
    </row>
    <row r="239" spans="1:22" x14ac:dyDescent="0.25">
      <c r="A239" t="s">
        <v>10</v>
      </c>
      <c r="B239" t="s">
        <v>20</v>
      </c>
      <c r="C239" t="s">
        <v>39</v>
      </c>
      <c r="D239" t="s">
        <v>47</v>
      </c>
      <c r="E239">
        <v>720</v>
      </c>
      <c r="F239">
        <v>5</v>
      </c>
      <c r="G239">
        <v>350</v>
      </c>
      <c r="H239">
        <v>252000</v>
      </c>
      <c r="I239">
        <v>12600</v>
      </c>
      <c r="J239">
        <v>239400</v>
      </c>
      <c r="K239">
        <v>187200</v>
      </c>
      <c r="L239">
        <v>52200</v>
      </c>
      <c r="M239" s="4">
        <v>41518</v>
      </c>
      <c r="N239">
        <v>9</v>
      </c>
      <c r="O239" t="s">
        <v>29</v>
      </c>
      <c r="P239" t="s">
        <v>14</v>
      </c>
      <c r="Q239" s="9">
        <f t="shared" si="9"/>
        <v>0.21804511278195488</v>
      </c>
      <c r="R239" s="9">
        <f t="shared" si="10"/>
        <v>0.78195488721804507</v>
      </c>
      <c r="V239" t="str">
        <f t="shared" si="11"/>
        <v>Good Performance</v>
      </c>
    </row>
    <row r="240" spans="1:22" x14ac:dyDescent="0.25">
      <c r="A240" t="s">
        <v>11</v>
      </c>
      <c r="B240" t="s">
        <v>19</v>
      </c>
      <c r="C240" t="s">
        <v>39</v>
      </c>
      <c r="D240" t="s">
        <v>47</v>
      </c>
      <c r="E240">
        <v>2342</v>
      </c>
      <c r="F240">
        <v>5</v>
      </c>
      <c r="G240">
        <v>12</v>
      </c>
      <c r="H240">
        <v>28104</v>
      </c>
      <c r="I240">
        <v>1405.2</v>
      </c>
      <c r="J240">
        <v>26698.799999999999</v>
      </c>
      <c r="K240">
        <v>7026</v>
      </c>
      <c r="L240">
        <v>19672.8</v>
      </c>
      <c r="M240" s="4">
        <v>41944</v>
      </c>
      <c r="N240">
        <v>11</v>
      </c>
      <c r="O240" t="s">
        <v>31</v>
      </c>
      <c r="P240" t="s">
        <v>15</v>
      </c>
      <c r="Q240" s="9">
        <f t="shared" si="9"/>
        <v>0.73684210526315785</v>
      </c>
      <c r="R240" s="9">
        <f t="shared" si="10"/>
        <v>0.26315789473684209</v>
      </c>
      <c r="V240" t="str">
        <f t="shared" si="11"/>
        <v>Good Performance</v>
      </c>
    </row>
    <row r="241" spans="1:22" x14ac:dyDescent="0.25">
      <c r="A241" t="s">
        <v>7</v>
      </c>
      <c r="B241" t="s">
        <v>20</v>
      </c>
      <c r="C241" t="s">
        <v>39</v>
      </c>
      <c r="D241" t="s">
        <v>47</v>
      </c>
      <c r="E241">
        <v>1100</v>
      </c>
      <c r="F241">
        <v>5</v>
      </c>
      <c r="G241">
        <v>300</v>
      </c>
      <c r="H241">
        <v>330000</v>
      </c>
      <c r="I241">
        <v>16500</v>
      </c>
      <c r="J241">
        <v>313500</v>
      </c>
      <c r="K241">
        <v>275000</v>
      </c>
      <c r="L241">
        <v>38500</v>
      </c>
      <c r="M241" s="4">
        <v>41609</v>
      </c>
      <c r="N241">
        <v>12</v>
      </c>
      <c r="O241" t="s">
        <v>32</v>
      </c>
      <c r="P241" t="s">
        <v>14</v>
      </c>
      <c r="Q241" s="9">
        <f t="shared" si="9"/>
        <v>0.12280701754385964</v>
      </c>
      <c r="R241" s="9">
        <f t="shared" si="10"/>
        <v>0.8771929824561403</v>
      </c>
      <c r="V241" t="str">
        <f t="shared" si="11"/>
        <v>Good Performance</v>
      </c>
    </row>
    <row r="242" spans="1:22" x14ac:dyDescent="0.25">
      <c r="A242" t="s">
        <v>10</v>
      </c>
      <c r="B242" t="s">
        <v>18</v>
      </c>
      <c r="C242" t="s">
        <v>40</v>
      </c>
      <c r="D242" t="s">
        <v>47</v>
      </c>
      <c r="E242">
        <v>1303</v>
      </c>
      <c r="F242">
        <v>10</v>
      </c>
      <c r="G242">
        <v>20</v>
      </c>
      <c r="H242">
        <v>26060</v>
      </c>
      <c r="I242">
        <v>1303</v>
      </c>
      <c r="J242">
        <v>24757</v>
      </c>
      <c r="K242">
        <v>13030</v>
      </c>
      <c r="L242">
        <v>11727</v>
      </c>
      <c r="M242" s="4">
        <v>41671</v>
      </c>
      <c r="N242">
        <v>2</v>
      </c>
      <c r="O242" t="s">
        <v>22</v>
      </c>
      <c r="P242" t="s">
        <v>15</v>
      </c>
      <c r="Q242" s="9">
        <f t="shared" si="9"/>
        <v>0.47368421052631576</v>
      </c>
      <c r="R242" s="9">
        <f t="shared" si="10"/>
        <v>0.52631578947368418</v>
      </c>
      <c r="V242" t="str">
        <f t="shared" si="11"/>
        <v>Good Performance</v>
      </c>
    </row>
    <row r="243" spans="1:22" x14ac:dyDescent="0.25">
      <c r="A243" t="s">
        <v>9</v>
      </c>
      <c r="B243" t="s">
        <v>17</v>
      </c>
      <c r="C243" t="s">
        <v>40</v>
      </c>
      <c r="D243" t="s">
        <v>47</v>
      </c>
      <c r="E243">
        <v>2992</v>
      </c>
      <c r="F243">
        <v>10</v>
      </c>
      <c r="G243">
        <v>125</v>
      </c>
      <c r="H243">
        <v>374000</v>
      </c>
      <c r="I243">
        <v>18700</v>
      </c>
      <c r="J243">
        <v>355300</v>
      </c>
      <c r="K243">
        <v>359040</v>
      </c>
      <c r="L243">
        <v>-3740</v>
      </c>
      <c r="M243" s="4">
        <v>41699</v>
      </c>
      <c r="N243">
        <v>3</v>
      </c>
      <c r="O243" t="s">
        <v>23</v>
      </c>
      <c r="P243" t="s">
        <v>15</v>
      </c>
      <c r="Q243" s="9">
        <f t="shared" si="9"/>
        <v>-1.0526315789473684E-2</v>
      </c>
      <c r="R243" s="9">
        <f t="shared" si="10"/>
        <v>1.0105263157894737</v>
      </c>
      <c r="V243" t="str">
        <f t="shared" si="11"/>
        <v>Under Review</v>
      </c>
    </row>
    <row r="244" spans="1:22" x14ac:dyDescent="0.25">
      <c r="A244" t="s">
        <v>9</v>
      </c>
      <c r="B244" t="s">
        <v>18</v>
      </c>
      <c r="C244" t="s">
        <v>40</v>
      </c>
      <c r="D244" t="s">
        <v>47</v>
      </c>
      <c r="E244">
        <v>2385</v>
      </c>
      <c r="F244">
        <v>10</v>
      </c>
      <c r="G244">
        <v>125</v>
      </c>
      <c r="H244">
        <v>298125</v>
      </c>
      <c r="I244">
        <v>14906.25</v>
      </c>
      <c r="J244">
        <v>283218.75</v>
      </c>
      <c r="K244">
        <v>286200</v>
      </c>
      <c r="L244">
        <v>-2981.25</v>
      </c>
      <c r="M244" s="4">
        <v>41699</v>
      </c>
      <c r="N244">
        <v>3</v>
      </c>
      <c r="O244" t="s">
        <v>23</v>
      </c>
      <c r="P244" t="s">
        <v>15</v>
      </c>
      <c r="Q244" s="9">
        <f t="shared" si="9"/>
        <v>-1.0526315789473684E-2</v>
      </c>
      <c r="R244" s="9">
        <f t="shared" si="10"/>
        <v>1.0105263157894737</v>
      </c>
      <c r="V244" t="str">
        <f t="shared" si="11"/>
        <v>Under Review</v>
      </c>
    </row>
    <row r="245" spans="1:22" x14ac:dyDescent="0.25">
      <c r="A245" t="s">
        <v>7</v>
      </c>
      <c r="B245" t="s">
        <v>20</v>
      </c>
      <c r="C245" t="s">
        <v>40</v>
      </c>
      <c r="D245" t="s">
        <v>47</v>
      </c>
      <c r="E245">
        <v>1607</v>
      </c>
      <c r="F245">
        <v>10</v>
      </c>
      <c r="G245">
        <v>300</v>
      </c>
      <c r="H245">
        <v>482100</v>
      </c>
      <c r="I245">
        <v>24105</v>
      </c>
      <c r="J245">
        <v>457995</v>
      </c>
      <c r="K245">
        <v>401750</v>
      </c>
      <c r="L245">
        <v>56245</v>
      </c>
      <c r="M245" s="4">
        <v>41730</v>
      </c>
      <c r="N245">
        <v>4</v>
      </c>
      <c r="O245" t="s">
        <v>24</v>
      </c>
      <c r="P245" t="s">
        <v>15</v>
      </c>
      <c r="Q245" s="9">
        <f t="shared" si="9"/>
        <v>0.12280701754385964</v>
      </c>
      <c r="R245" s="9">
        <f t="shared" si="10"/>
        <v>0.8771929824561403</v>
      </c>
      <c r="V245" t="str">
        <f t="shared" si="11"/>
        <v>Good Performance</v>
      </c>
    </row>
    <row r="246" spans="1:22" x14ac:dyDescent="0.25">
      <c r="A246" t="s">
        <v>10</v>
      </c>
      <c r="B246" t="s">
        <v>17</v>
      </c>
      <c r="C246" t="s">
        <v>40</v>
      </c>
      <c r="D246" t="s">
        <v>47</v>
      </c>
      <c r="E246">
        <v>2327</v>
      </c>
      <c r="F246">
        <v>10</v>
      </c>
      <c r="G246">
        <v>7</v>
      </c>
      <c r="H246">
        <v>16289</v>
      </c>
      <c r="I246">
        <v>814.45</v>
      </c>
      <c r="J246">
        <v>15474.55</v>
      </c>
      <c r="K246">
        <v>11635</v>
      </c>
      <c r="L246">
        <v>3839.5499999999993</v>
      </c>
      <c r="M246" s="4">
        <v>41760</v>
      </c>
      <c r="N246">
        <v>5</v>
      </c>
      <c r="O246" t="s">
        <v>25</v>
      </c>
      <c r="P246" t="s">
        <v>15</v>
      </c>
      <c r="Q246" s="9">
        <f t="shared" si="9"/>
        <v>0.24812030075187966</v>
      </c>
      <c r="R246" s="9">
        <f t="shared" si="10"/>
        <v>0.75187969924812037</v>
      </c>
      <c r="V246" t="str">
        <f t="shared" si="11"/>
        <v>Good Performance</v>
      </c>
    </row>
    <row r="247" spans="1:22" x14ac:dyDescent="0.25">
      <c r="A247" t="s">
        <v>7</v>
      </c>
      <c r="B247" t="s">
        <v>17</v>
      </c>
      <c r="C247" t="s">
        <v>40</v>
      </c>
      <c r="D247" t="s">
        <v>47</v>
      </c>
      <c r="E247">
        <v>991</v>
      </c>
      <c r="F247">
        <v>10</v>
      </c>
      <c r="G247">
        <v>300</v>
      </c>
      <c r="H247">
        <v>297300</v>
      </c>
      <c r="I247">
        <v>14865</v>
      </c>
      <c r="J247">
        <v>282435</v>
      </c>
      <c r="K247">
        <v>247750</v>
      </c>
      <c r="L247">
        <v>34685</v>
      </c>
      <c r="M247" s="4">
        <v>41791</v>
      </c>
      <c r="N247">
        <v>6</v>
      </c>
      <c r="O247" t="s">
        <v>26</v>
      </c>
      <c r="P247" t="s">
        <v>15</v>
      </c>
      <c r="Q247" s="9">
        <f t="shared" si="9"/>
        <v>0.12280701754385964</v>
      </c>
      <c r="R247" s="9">
        <f t="shared" si="10"/>
        <v>0.8771929824561403</v>
      </c>
      <c r="V247" t="str">
        <f t="shared" si="11"/>
        <v>Good Performance</v>
      </c>
    </row>
    <row r="248" spans="1:22" x14ac:dyDescent="0.25">
      <c r="A248" t="s">
        <v>10</v>
      </c>
      <c r="B248" t="s">
        <v>17</v>
      </c>
      <c r="C248" t="s">
        <v>40</v>
      </c>
      <c r="D248" t="s">
        <v>47</v>
      </c>
      <c r="E248">
        <v>602</v>
      </c>
      <c r="F248">
        <v>10</v>
      </c>
      <c r="G248">
        <v>350</v>
      </c>
      <c r="H248">
        <v>210700</v>
      </c>
      <c r="I248">
        <v>10535</v>
      </c>
      <c r="J248">
        <v>200165</v>
      </c>
      <c r="K248">
        <v>156520</v>
      </c>
      <c r="L248">
        <v>43645</v>
      </c>
      <c r="M248" s="4">
        <v>41791</v>
      </c>
      <c r="N248">
        <v>6</v>
      </c>
      <c r="O248" t="s">
        <v>26</v>
      </c>
      <c r="P248" t="s">
        <v>15</v>
      </c>
      <c r="Q248" s="9">
        <f t="shared" si="9"/>
        <v>0.21804511278195488</v>
      </c>
      <c r="R248" s="9">
        <f t="shared" si="10"/>
        <v>0.78195488721804507</v>
      </c>
      <c r="V248" t="str">
        <f t="shared" si="11"/>
        <v>Good Performance</v>
      </c>
    </row>
    <row r="249" spans="1:22" x14ac:dyDescent="0.25">
      <c r="A249" t="s">
        <v>8</v>
      </c>
      <c r="B249" t="s">
        <v>18</v>
      </c>
      <c r="C249" t="s">
        <v>40</v>
      </c>
      <c r="D249" t="s">
        <v>47</v>
      </c>
      <c r="E249">
        <v>2620</v>
      </c>
      <c r="F249">
        <v>10</v>
      </c>
      <c r="G249">
        <v>15</v>
      </c>
      <c r="H249">
        <v>39300</v>
      </c>
      <c r="I249">
        <v>1965</v>
      </c>
      <c r="J249">
        <v>37335</v>
      </c>
      <c r="K249">
        <v>26200</v>
      </c>
      <c r="L249">
        <v>11135</v>
      </c>
      <c r="M249" s="4">
        <v>41883</v>
      </c>
      <c r="N249">
        <v>9</v>
      </c>
      <c r="O249" t="s">
        <v>29</v>
      </c>
      <c r="P249" t="s">
        <v>15</v>
      </c>
      <c r="Q249" s="9">
        <f t="shared" si="9"/>
        <v>0.2982456140350877</v>
      </c>
      <c r="R249" s="9">
        <f t="shared" si="10"/>
        <v>0.70175438596491224</v>
      </c>
      <c r="V249" t="str">
        <f t="shared" si="11"/>
        <v>Good Performance</v>
      </c>
    </row>
    <row r="250" spans="1:22" x14ac:dyDescent="0.25">
      <c r="A250" t="s">
        <v>10</v>
      </c>
      <c r="B250" t="s">
        <v>16</v>
      </c>
      <c r="C250" t="s">
        <v>40</v>
      </c>
      <c r="D250" t="s">
        <v>47</v>
      </c>
      <c r="E250">
        <v>1228</v>
      </c>
      <c r="F250">
        <v>10</v>
      </c>
      <c r="G250">
        <v>350</v>
      </c>
      <c r="H250">
        <v>429800</v>
      </c>
      <c r="I250">
        <v>21490</v>
      </c>
      <c r="J250">
        <v>408310</v>
      </c>
      <c r="K250">
        <v>319280</v>
      </c>
      <c r="L250">
        <v>89030</v>
      </c>
      <c r="M250" s="4">
        <v>41548</v>
      </c>
      <c r="N250">
        <v>10</v>
      </c>
      <c r="O250" t="s">
        <v>30</v>
      </c>
      <c r="P250" t="s">
        <v>14</v>
      </c>
      <c r="Q250" s="9">
        <f t="shared" si="9"/>
        <v>0.21804511278195488</v>
      </c>
      <c r="R250" s="9">
        <f t="shared" si="10"/>
        <v>0.78195488721804507</v>
      </c>
      <c r="V250" t="str">
        <f t="shared" si="11"/>
        <v>Good Performance</v>
      </c>
    </row>
    <row r="251" spans="1:22" x14ac:dyDescent="0.25">
      <c r="A251" t="s">
        <v>10</v>
      </c>
      <c r="B251" t="s">
        <v>16</v>
      </c>
      <c r="C251" t="s">
        <v>40</v>
      </c>
      <c r="D251" t="s">
        <v>47</v>
      </c>
      <c r="E251">
        <v>1389</v>
      </c>
      <c r="F251">
        <v>10</v>
      </c>
      <c r="G251">
        <v>20</v>
      </c>
      <c r="H251">
        <v>27780</v>
      </c>
      <c r="I251">
        <v>1389</v>
      </c>
      <c r="J251">
        <v>26391</v>
      </c>
      <c r="K251">
        <v>13890</v>
      </c>
      <c r="L251">
        <v>12501</v>
      </c>
      <c r="M251" s="4">
        <v>41548</v>
      </c>
      <c r="N251">
        <v>10</v>
      </c>
      <c r="O251" t="s">
        <v>30</v>
      </c>
      <c r="P251" t="s">
        <v>14</v>
      </c>
      <c r="Q251" s="9">
        <f t="shared" si="9"/>
        <v>0.47368421052631576</v>
      </c>
      <c r="R251" s="9">
        <f t="shared" si="10"/>
        <v>0.52631578947368418</v>
      </c>
      <c r="V251" t="str">
        <f t="shared" si="11"/>
        <v>Good Performance</v>
      </c>
    </row>
    <row r="252" spans="1:22" x14ac:dyDescent="0.25">
      <c r="A252" t="s">
        <v>9</v>
      </c>
      <c r="B252" t="s">
        <v>17</v>
      </c>
      <c r="C252" t="s">
        <v>40</v>
      </c>
      <c r="D252" t="s">
        <v>47</v>
      </c>
      <c r="E252">
        <v>861</v>
      </c>
      <c r="F252">
        <v>10</v>
      </c>
      <c r="G252">
        <v>125</v>
      </c>
      <c r="H252">
        <v>107625</v>
      </c>
      <c r="I252">
        <v>5381.25</v>
      </c>
      <c r="J252">
        <v>102243.75</v>
      </c>
      <c r="K252">
        <v>103320</v>
      </c>
      <c r="L252">
        <v>-1076.25</v>
      </c>
      <c r="M252" s="4">
        <v>41913</v>
      </c>
      <c r="N252">
        <v>10</v>
      </c>
      <c r="O252" t="s">
        <v>30</v>
      </c>
      <c r="P252" t="s">
        <v>15</v>
      </c>
      <c r="Q252" s="9">
        <f t="shared" si="9"/>
        <v>-1.0526315789473684E-2</v>
      </c>
      <c r="R252" s="9">
        <f t="shared" si="10"/>
        <v>1.0105263157894737</v>
      </c>
      <c r="V252" t="str">
        <f t="shared" si="11"/>
        <v>Under Review</v>
      </c>
    </row>
    <row r="253" spans="1:22" x14ac:dyDescent="0.25">
      <c r="A253" t="s">
        <v>9</v>
      </c>
      <c r="B253" t="s">
        <v>18</v>
      </c>
      <c r="C253" t="s">
        <v>40</v>
      </c>
      <c r="D253" t="s">
        <v>47</v>
      </c>
      <c r="E253">
        <v>704</v>
      </c>
      <c r="F253">
        <v>10</v>
      </c>
      <c r="G253">
        <v>125</v>
      </c>
      <c r="H253">
        <v>88000</v>
      </c>
      <c r="I253">
        <v>4400</v>
      </c>
      <c r="J253">
        <v>83600</v>
      </c>
      <c r="K253">
        <v>84480</v>
      </c>
      <c r="L253">
        <v>-880</v>
      </c>
      <c r="M253" s="4">
        <v>41548</v>
      </c>
      <c r="N253">
        <v>10</v>
      </c>
      <c r="O253" t="s">
        <v>30</v>
      </c>
      <c r="P253" t="s">
        <v>14</v>
      </c>
      <c r="Q253" s="9">
        <f t="shared" si="9"/>
        <v>-1.0526315789473684E-2</v>
      </c>
      <c r="R253" s="9">
        <f t="shared" si="10"/>
        <v>1.0105263157894737</v>
      </c>
      <c r="V253" t="str">
        <f t="shared" si="11"/>
        <v>Under Review</v>
      </c>
    </row>
    <row r="254" spans="1:22" x14ac:dyDescent="0.25">
      <c r="A254" t="s">
        <v>10</v>
      </c>
      <c r="B254" t="s">
        <v>16</v>
      </c>
      <c r="C254" t="s">
        <v>40</v>
      </c>
      <c r="D254" t="s">
        <v>47</v>
      </c>
      <c r="E254">
        <v>1802</v>
      </c>
      <c r="F254">
        <v>10</v>
      </c>
      <c r="G254">
        <v>20</v>
      </c>
      <c r="H254">
        <v>36040</v>
      </c>
      <c r="I254">
        <v>1802</v>
      </c>
      <c r="J254">
        <v>34238</v>
      </c>
      <c r="K254">
        <v>18020</v>
      </c>
      <c r="L254">
        <v>16218</v>
      </c>
      <c r="M254" s="4">
        <v>41609</v>
      </c>
      <c r="N254">
        <v>12</v>
      </c>
      <c r="O254" t="s">
        <v>32</v>
      </c>
      <c r="P254" t="s">
        <v>14</v>
      </c>
      <c r="Q254" s="9">
        <f t="shared" si="9"/>
        <v>0.47368421052631576</v>
      </c>
      <c r="R254" s="9">
        <f t="shared" si="10"/>
        <v>0.52631578947368418</v>
      </c>
      <c r="V254" t="str">
        <f t="shared" si="11"/>
        <v>Good Performance</v>
      </c>
    </row>
    <row r="255" spans="1:22" x14ac:dyDescent="0.25">
      <c r="A255" t="s">
        <v>10</v>
      </c>
      <c r="B255" t="s">
        <v>17</v>
      </c>
      <c r="C255" t="s">
        <v>40</v>
      </c>
      <c r="D255" t="s">
        <v>47</v>
      </c>
      <c r="E255">
        <v>2663</v>
      </c>
      <c r="F255">
        <v>10</v>
      </c>
      <c r="G255">
        <v>20</v>
      </c>
      <c r="H255">
        <v>53260</v>
      </c>
      <c r="I255">
        <v>2663</v>
      </c>
      <c r="J255">
        <v>50597</v>
      </c>
      <c r="K255">
        <v>26630</v>
      </c>
      <c r="L255">
        <v>23967</v>
      </c>
      <c r="M255" s="4">
        <v>41974</v>
      </c>
      <c r="N255">
        <v>12</v>
      </c>
      <c r="O255" t="s">
        <v>32</v>
      </c>
      <c r="P255" t="s">
        <v>15</v>
      </c>
      <c r="Q255" s="9">
        <f t="shared" si="9"/>
        <v>0.47368421052631576</v>
      </c>
      <c r="R255" s="9">
        <f t="shared" si="10"/>
        <v>0.52631578947368418</v>
      </c>
      <c r="V255" t="str">
        <f t="shared" si="11"/>
        <v>Good Performance</v>
      </c>
    </row>
    <row r="256" spans="1:22" x14ac:dyDescent="0.25">
      <c r="A256" t="s">
        <v>10</v>
      </c>
      <c r="B256" t="s">
        <v>18</v>
      </c>
      <c r="C256" t="s">
        <v>40</v>
      </c>
      <c r="D256" t="s">
        <v>47</v>
      </c>
      <c r="E256">
        <v>2136</v>
      </c>
      <c r="F256">
        <v>10</v>
      </c>
      <c r="G256">
        <v>7</v>
      </c>
      <c r="H256">
        <v>14952</v>
      </c>
      <c r="I256">
        <v>747.6</v>
      </c>
      <c r="J256">
        <v>14204.4</v>
      </c>
      <c r="K256">
        <v>10680</v>
      </c>
      <c r="L256">
        <v>3524.3999999999996</v>
      </c>
      <c r="M256" s="4">
        <v>41609</v>
      </c>
      <c r="N256">
        <v>12</v>
      </c>
      <c r="O256" t="s">
        <v>32</v>
      </c>
      <c r="P256" t="s">
        <v>14</v>
      </c>
      <c r="Q256" s="9">
        <f t="shared" si="9"/>
        <v>0.24812030075187969</v>
      </c>
      <c r="R256" s="9">
        <f t="shared" si="10"/>
        <v>0.75187969924812037</v>
      </c>
      <c r="V256" t="str">
        <f t="shared" si="11"/>
        <v>Good Performance</v>
      </c>
    </row>
    <row r="257" spans="1:22" x14ac:dyDescent="0.25">
      <c r="A257" t="s">
        <v>8</v>
      </c>
      <c r="B257" t="s">
        <v>19</v>
      </c>
      <c r="C257" t="s">
        <v>40</v>
      </c>
      <c r="D257" t="s">
        <v>47</v>
      </c>
      <c r="E257">
        <v>2116</v>
      </c>
      <c r="F257">
        <v>10</v>
      </c>
      <c r="G257">
        <v>15</v>
      </c>
      <c r="H257">
        <v>31740</v>
      </c>
      <c r="I257">
        <v>1587</v>
      </c>
      <c r="J257">
        <v>30153</v>
      </c>
      <c r="K257">
        <v>21160</v>
      </c>
      <c r="L257">
        <v>8993</v>
      </c>
      <c r="M257" s="4">
        <v>41609</v>
      </c>
      <c r="N257">
        <v>12</v>
      </c>
      <c r="O257" t="s">
        <v>32</v>
      </c>
      <c r="P257" t="s">
        <v>14</v>
      </c>
      <c r="Q257" s="9">
        <f t="shared" si="9"/>
        <v>0.2982456140350877</v>
      </c>
      <c r="R257" s="9">
        <f t="shared" si="10"/>
        <v>0.70175438596491224</v>
      </c>
      <c r="V257" t="str">
        <f t="shared" si="11"/>
        <v>Good Performance</v>
      </c>
    </row>
    <row r="258" spans="1:22" x14ac:dyDescent="0.25">
      <c r="A258" t="s">
        <v>8</v>
      </c>
      <c r="B258" t="s">
        <v>17</v>
      </c>
      <c r="C258" t="s">
        <v>41</v>
      </c>
      <c r="D258" t="s">
        <v>47</v>
      </c>
      <c r="E258">
        <v>555</v>
      </c>
      <c r="F258">
        <v>120</v>
      </c>
      <c r="G258">
        <v>15</v>
      </c>
      <c r="H258">
        <v>8325</v>
      </c>
      <c r="I258">
        <v>416.25</v>
      </c>
      <c r="J258">
        <v>7908.75</v>
      </c>
      <c r="K258">
        <v>5550</v>
      </c>
      <c r="L258">
        <v>2358.75</v>
      </c>
      <c r="M258" s="4">
        <v>41640</v>
      </c>
      <c r="N258">
        <v>1</v>
      </c>
      <c r="O258" t="s">
        <v>21</v>
      </c>
      <c r="P258" t="s">
        <v>15</v>
      </c>
      <c r="Q258" s="9">
        <f t="shared" si="9"/>
        <v>0.2982456140350877</v>
      </c>
      <c r="R258" s="9">
        <f t="shared" si="10"/>
        <v>0.70175438596491224</v>
      </c>
      <c r="V258" t="str">
        <f t="shared" si="11"/>
        <v>Good Performance</v>
      </c>
    </row>
    <row r="259" spans="1:22" x14ac:dyDescent="0.25">
      <c r="A259" t="s">
        <v>8</v>
      </c>
      <c r="B259" t="s">
        <v>20</v>
      </c>
      <c r="C259" t="s">
        <v>41</v>
      </c>
      <c r="D259" t="s">
        <v>47</v>
      </c>
      <c r="E259">
        <v>2861</v>
      </c>
      <c r="F259">
        <v>120</v>
      </c>
      <c r="G259">
        <v>15</v>
      </c>
      <c r="H259">
        <v>42915</v>
      </c>
      <c r="I259">
        <v>2145.75</v>
      </c>
      <c r="J259">
        <v>40769.25</v>
      </c>
      <c r="K259">
        <v>28610</v>
      </c>
      <c r="L259">
        <v>12159.25</v>
      </c>
      <c r="M259" s="4">
        <v>41640</v>
      </c>
      <c r="N259">
        <v>1</v>
      </c>
      <c r="O259" t="s">
        <v>21</v>
      </c>
      <c r="P259" t="s">
        <v>15</v>
      </c>
      <c r="Q259" s="9">
        <f t="shared" ref="Q259:Q322" si="12">L259/J259</f>
        <v>0.2982456140350877</v>
      </c>
      <c r="R259" s="9">
        <f t="shared" ref="R259:R322" si="13">K259/J259</f>
        <v>0.70175438596491224</v>
      </c>
      <c r="V259" t="str">
        <f t="shared" ref="V259:V322" si="14">IF(Q259&lt;0.1, "Under Review", "Good Performance")</f>
        <v>Good Performance</v>
      </c>
    </row>
    <row r="260" spans="1:22" x14ac:dyDescent="0.25">
      <c r="A260" t="s">
        <v>9</v>
      </c>
      <c r="B260" t="s">
        <v>19</v>
      </c>
      <c r="C260" t="s">
        <v>41</v>
      </c>
      <c r="D260" t="s">
        <v>47</v>
      </c>
      <c r="E260">
        <v>807</v>
      </c>
      <c r="F260">
        <v>120</v>
      </c>
      <c r="G260">
        <v>125</v>
      </c>
      <c r="H260">
        <v>100875</v>
      </c>
      <c r="I260">
        <v>5043.75</v>
      </c>
      <c r="J260">
        <v>95831.25</v>
      </c>
      <c r="K260">
        <v>96840</v>
      </c>
      <c r="L260">
        <v>-1008.75</v>
      </c>
      <c r="M260" s="4">
        <v>41671</v>
      </c>
      <c r="N260">
        <v>2</v>
      </c>
      <c r="O260" t="s">
        <v>22</v>
      </c>
      <c r="P260" t="s">
        <v>15</v>
      </c>
      <c r="Q260" s="9">
        <f t="shared" si="12"/>
        <v>-1.0526315789473684E-2</v>
      </c>
      <c r="R260" s="9">
        <f t="shared" si="13"/>
        <v>1.0105263157894737</v>
      </c>
      <c r="V260" t="str">
        <f t="shared" si="14"/>
        <v>Under Review</v>
      </c>
    </row>
    <row r="261" spans="1:22" x14ac:dyDescent="0.25">
      <c r="A261" t="s">
        <v>10</v>
      </c>
      <c r="B261" t="s">
        <v>17</v>
      </c>
      <c r="C261" t="s">
        <v>41</v>
      </c>
      <c r="D261" t="s">
        <v>47</v>
      </c>
      <c r="E261">
        <v>602</v>
      </c>
      <c r="F261">
        <v>120</v>
      </c>
      <c r="G261">
        <v>350</v>
      </c>
      <c r="H261">
        <v>210700</v>
      </c>
      <c r="I261">
        <v>10535</v>
      </c>
      <c r="J261">
        <v>200165</v>
      </c>
      <c r="K261">
        <v>156520</v>
      </c>
      <c r="L261">
        <v>43645</v>
      </c>
      <c r="M261" s="4">
        <v>41791</v>
      </c>
      <c r="N261">
        <v>6</v>
      </c>
      <c r="O261" t="s">
        <v>26</v>
      </c>
      <c r="P261" t="s">
        <v>15</v>
      </c>
      <c r="Q261" s="9">
        <f t="shared" si="12"/>
        <v>0.21804511278195488</v>
      </c>
      <c r="R261" s="9">
        <f t="shared" si="13"/>
        <v>0.78195488721804507</v>
      </c>
      <c r="V261" t="str">
        <f t="shared" si="14"/>
        <v>Good Performance</v>
      </c>
    </row>
    <row r="262" spans="1:22" x14ac:dyDescent="0.25">
      <c r="A262" t="s">
        <v>10</v>
      </c>
      <c r="B262" t="s">
        <v>17</v>
      </c>
      <c r="C262" t="s">
        <v>41</v>
      </c>
      <c r="D262" t="s">
        <v>47</v>
      </c>
      <c r="E262">
        <v>2832</v>
      </c>
      <c r="F262">
        <v>120</v>
      </c>
      <c r="G262">
        <v>20</v>
      </c>
      <c r="H262">
        <v>56640</v>
      </c>
      <c r="I262">
        <v>2832</v>
      </c>
      <c r="J262">
        <v>53808</v>
      </c>
      <c r="K262">
        <v>28320</v>
      </c>
      <c r="L262">
        <v>25488</v>
      </c>
      <c r="M262" s="4">
        <v>41852</v>
      </c>
      <c r="N262">
        <v>8</v>
      </c>
      <c r="O262" t="s">
        <v>28</v>
      </c>
      <c r="P262" t="s">
        <v>15</v>
      </c>
      <c r="Q262" s="9">
        <f t="shared" si="12"/>
        <v>0.47368421052631576</v>
      </c>
      <c r="R262" s="9">
        <f t="shared" si="13"/>
        <v>0.52631578947368418</v>
      </c>
      <c r="V262" t="str">
        <f t="shared" si="14"/>
        <v>Good Performance</v>
      </c>
    </row>
    <row r="263" spans="1:22" x14ac:dyDescent="0.25">
      <c r="A263" t="s">
        <v>10</v>
      </c>
      <c r="B263" t="s">
        <v>18</v>
      </c>
      <c r="C263" t="s">
        <v>41</v>
      </c>
      <c r="D263" t="s">
        <v>47</v>
      </c>
      <c r="E263">
        <v>1579</v>
      </c>
      <c r="F263">
        <v>120</v>
      </c>
      <c r="G263">
        <v>20</v>
      </c>
      <c r="H263">
        <v>31580</v>
      </c>
      <c r="I263">
        <v>1579</v>
      </c>
      <c r="J263">
        <v>30001</v>
      </c>
      <c r="K263">
        <v>15790</v>
      </c>
      <c r="L263">
        <v>14211</v>
      </c>
      <c r="M263" s="4">
        <v>41852</v>
      </c>
      <c r="N263">
        <v>8</v>
      </c>
      <c r="O263" t="s">
        <v>28</v>
      </c>
      <c r="P263" t="s">
        <v>15</v>
      </c>
      <c r="Q263" s="9">
        <f t="shared" si="12"/>
        <v>0.47368421052631576</v>
      </c>
      <c r="R263" s="9">
        <f t="shared" si="13"/>
        <v>0.52631578947368418</v>
      </c>
      <c r="V263" t="str">
        <f t="shared" si="14"/>
        <v>Good Performance</v>
      </c>
    </row>
    <row r="264" spans="1:22" x14ac:dyDescent="0.25">
      <c r="A264" t="s">
        <v>9</v>
      </c>
      <c r="B264" t="s">
        <v>17</v>
      </c>
      <c r="C264" t="s">
        <v>41</v>
      </c>
      <c r="D264" t="s">
        <v>47</v>
      </c>
      <c r="E264">
        <v>861</v>
      </c>
      <c r="F264">
        <v>120</v>
      </c>
      <c r="G264">
        <v>125</v>
      </c>
      <c r="H264">
        <v>107625</v>
      </c>
      <c r="I264">
        <v>5381.25</v>
      </c>
      <c r="J264">
        <v>102243.75</v>
      </c>
      <c r="K264">
        <v>103320</v>
      </c>
      <c r="L264">
        <v>-1076.25</v>
      </c>
      <c r="M264" s="4">
        <v>41913</v>
      </c>
      <c r="N264">
        <v>10</v>
      </c>
      <c r="O264" t="s">
        <v>30</v>
      </c>
      <c r="P264" t="s">
        <v>15</v>
      </c>
      <c r="Q264" s="9">
        <f t="shared" si="12"/>
        <v>-1.0526315789473684E-2</v>
      </c>
      <c r="R264" s="9">
        <f t="shared" si="13"/>
        <v>1.0105263157894737</v>
      </c>
      <c r="V264" t="str">
        <f t="shared" si="14"/>
        <v>Under Review</v>
      </c>
    </row>
    <row r="265" spans="1:22" x14ac:dyDescent="0.25">
      <c r="A265" t="s">
        <v>9</v>
      </c>
      <c r="B265" t="s">
        <v>18</v>
      </c>
      <c r="C265" t="s">
        <v>41</v>
      </c>
      <c r="D265" t="s">
        <v>47</v>
      </c>
      <c r="E265">
        <v>704</v>
      </c>
      <c r="F265">
        <v>120</v>
      </c>
      <c r="G265">
        <v>125</v>
      </c>
      <c r="H265">
        <v>88000</v>
      </c>
      <c r="I265">
        <v>4400</v>
      </c>
      <c r="J265">
        <v>83600</v>
      </c>
      <c r="K265">
        <v>84480</v>
      </c>
      <c r="L265">
        <v>-880</v>
      </c>
      <c r="M265" s="4">
        <v>41548</v>
      </c>
      <c r="N265">
        <v>10</v>
      </c>
      <c r="O265" t="s">
        <v>30</v>
      </c>
      <c r="P265" t="s">
        <v>14</v>
      </c>
      <c r="Q265" s="9">
        <f t="shared" si="12"/>
        <v>-1.0526315789473684E-2</v>
      </c>
      <c r="R265" s="9">
        <f t="shared" si="13"/>
        <v>1.0105263157894737</v>
      </c>
      <c r="V265" t="str">
        <f t="shared" si="14"/>
        <v>Under Review</v>
      </c>
    </row>
    <row r="266" spans="1:22" x14ac:dyDescent="0.25">
      <c r="A266" t="s">
        <v>10</v>
      </c>
      <c r="B266" t="s">
        <v>18</v>
      </c>
      <c r="C266" t="s">
        <v>41</v>
      </c>
      <c r="D266" t="s">
        <v>47</v>
      </c>
      <c r="E266">
        <v>1033</v>
      </c>
      <c r="F266">
        <v>120</v>
      </c>
      <c r="G266">
        <v>20</v>
      </c>
      <c r="H266">
        <v>20660</v>
      </c>
      <c r="I266">
        <v>1033</v>
      </c>
      <c r="J266">
        <v>19627</v>
      </c>
      <c r="K266">
        <v>10330</v>
      </c>
      <c r="L266">
        <v>9297</v>
      </c>
      <c r="M266" s="4">
        <v>41609</v>
      </c>
      <c r="N266">
        <v>12</v>
      </c>
      <c r="O266" t="s">
        <v>32</v>
      </c>
      <c r="P266" t="s">
        <v>14</v>
      </c>
      <c r="Q266" s="9">
        <f t="shared" si="12"/>
        <v>0.47368421052631576</v>
      </c>
      <c r="R266" s="9">
        <f t="shared" si="13"/>
        <v>0.52631578947368418</v>
      </c>
      <c r="V266" t="str">
        <f t="shared" si="14"/>
        <v>Good Performance</v>
      </c>
    </row>
    <row r="267" spans="1:22" x14ac:dyDescent="0.25">
      <c r="A267" t="s">
        <v>7</v>
      </c>
      <c r="B267" t="s">
        <v>19</v>
      </c>
      <c r="C267" t="s">
        <v>41</v>
      </c>
      <c r="D267" t="s">
        <v>47</v>
      </c>
      <c r="E267">
        <v>1250</v>
      </c>
      <c r="F267">
        <v>120</v>
      </c>
      <c r="G267">
        <v>300</v>
      </c>
      <c r="H267">
        <v>375000</v>
      </c>
      <c r="I267">
        <v>18750</v>
      </c>
      <c r="J267">
        <v>356250</v>
      </c>
      <c r="K267">
        <v>312500</v>
      </c>
      <c r="L267">
        <v>43750</v>
      </c>
      <c r="M267" s="4">
        <v>41974</v>
      </c>
      <c r="N267">
        <v>12</v>
      </c>
      <c r="O267" t="s">
        <v>32</v>
      </c>
      <c r="P267" t="s">
        <v>15</v>
      </c>
      <c r="Q267" s="9">
        <f t="shared" si="12"/>
        <v>0.12280701754385964</v>
      </c>
      <c r="R267" s="9">
        <f t="shared" si="13"/>
        <v>0.8771929824561403</v>
      </c>
      <c r="V267" t="str">
        <f t="shared" si="14"/>
        <v>Good Performance</v>
      </c>
    </row>
    <row r="268" spans="1:22" x14ac:dyDescent="0.25">
      <c r="A268" t="s">
        <v>10</v>
      </c>
      <c r="B268" t="s">
        <v>16</v>
      </c>
      <c r="C268" t="s">
        <v>42</v>
      </c>
      <c r="D268" t="s">
        <v>47</v>
      </c>
      <c r="E268">
        <v>1389</v>
      </c>
      <c r="F268">
        <v>250</v>
      </c>
      <c r="G268">
        <v>20</v>
      </c>
      <c r="H268">
        <v>27780</v>
      </c>
      <c r="I268">
        <v>1389</v>
      </c>
      <c r="J268">
        <v>26391</v>
      </c>
      <c r="K268">
        <v>13890</v>
      </c>
      <c r="L268">
        <v>12501</v>
      </c>
      <c r="M268" s="4">
        <v>41548</v>
      </c>
      <c r="N268">
        <v>10</v>
      </c>
      <c r="O268" t="s">
        <v>30</v>
      </c>
      <c r="P268" t="s">
        <v>14</v>
      </c>
      <c r="Q268" s="9">
        <f t="shared" si="12"/>
        <v>0.47368421052631576</v>
      </c>
      <c r="R268" s="9">
        <f t="shared" si="13"/>
        <v>0.52631578947368418</v>
      </c>
      <c r="V268" t="str">
        <f t="shared" si="14"/>
        <v>Good Performance</v>
      </c>
    </row>
    <row r="269" spans="1:22" x14ac:dyDescent="0.25">
      <c r="A269" t="s">
        <v>10</v>
      </c>
      <c r="B269" t="s">
        <v>17</v>
      </c>
      <c r="C269" t="s">
        <v>42</v>
      </c>
      <c r="D269" t="s">
        <v>47</v>
      </c>
      <c r="E269">
        <v>1265</v>
      </c>
      <c r="F269">
        <v>250</v>
      </c>
      <c r="G269">
        <v>20</v>
      </c>
      <c r="H269">
        <v>25300</v>
      </c>
      <c r="I269">
        <v>1265</v>
      </c>
      <c r="J269">
        <v>24035</v>
      </c>
      <c r="K269">
        <v>12650</v>
      </c>
      <c r="L269">
        <v>11385</v>
      </c>
      <c r="M269" s="4">
        <v>41579</v>
      </c>
      <c r="N269">
        <v>11</v>
      </c>
      <c r="O269" t="s">
        <v>31</v>
      </c>
      <c r="P269" t="s">
        <v>14</v>
      </c>
      <c r="Q269" s="9">
        <f t="shared" si="12"/>
        <v>0.47368421052631576</v>
      </c>
      <c r="R269" s="9">
        <f t="shared" si="13"/>
        <v>0.52631578947368418</v>
      </c>
      <c r="V269" t="str">
        <f t="shared" si="14"/>
        <v>Good Performance</v>
      </c>
    </row>
    <row r="270" spans="1:22" x14ac:dyDescent="0.25">
      <c r="A270" t="s">
        <v>10</v>
      </c>
      <c r="B270" t="s">
        <v>19</v>
      </c>
      <c r="C270" t="s">
        <v>42</v>
      </c>
      <c r="D270" t="s">
        <v>47</v>
      </c>
      <c r="E270">
        <v>2297</v>
      </c>
      <c r="F270">
        <v>250</v>
      </c>
      <c r="G270">
        <v>20</v>
      </c>
      <c r="H270">
        <v>45940</v>
      </c>
      <c r="I270">
        <v>2297</v>
      </c>
      <c r="J270">
        <v>43643</v>
      </c>
      <c r="K270">
        <v>22970</v>
      </c>
      <c r="L270">
        <v>20673</v>
      </c>
      <c r="M270" s="4">
        <v>41579</v>
      </c>
      <c r="N270">
        <v>11</v>
      </c>
      <c r="O270" t="s">
        <v>31</v>
      </c>
      <c r="P270" t="s">
        <v>14</v>
      </c>
      <c r="Q270" s="9">
        <f t="shared" si="12"/>
        <v>0.47368421052631576</v>
      </c>
      <c r="R270" s="9">
        <f t="shared" si="13"/>
        <v>0.52631578947368418</v>
      </c>
      <c r="V270" t="str">
        <f t="shared" si="14"/>
        <v>Good Performance</v>
      </c>
    </row>
    <row r="271" spans="1:22" x14ac:dyDescent="0.25">
      <c r="A271" t="s">
        <v>10</v>
      </c>
      <c r="B271" t="s">
        <v>17</v>
      </c>
      <c r="C271" t="s">
        <v>42</v>
      </c>
      <c r="D271" t="s">
        <v>47</v>
      </c>
      <c r="E271">
        <v>2663</v>
      </c>
      <c r="F271">
        <v>250</v>
      </c>
      <c r="G271">
        <v>20</v>
      </c>
      <c r="H271">
        <v>53260</v>
      </c>
      <c r="I271">
        <v>2663</v>
      </c>
      <c r="J271">
        <v>50597</v>
      </c>
      <c r="K271">
        <v>26630</v>
      </c>
      <c r="L271">
        <v>23967</v>
      </c>
      <c r="M271" s="4">
        <v>41974</v>
      </c>
      <c r="N271">
        <v>12</v>
      </c>
      <c r="O271" t="s">
        <v>32</v>
      </c>
      <c r="P271" t="s">
        <v>15</v>
      </c>
      <c r="Q271" s="9">
        <f t="shared" si="12"/>
        <v>0.47368421052631576</v>
      </c>
      <c r="R271" s="9">
        <f t="shared" si="13"/>
        <v>0.52631578947368418</v>
      </c>
      <c r="V271" t="str">
        <f t="shared" si="14"/>
        <v>Good Performance</v>
      </c>
    </row>
    <row r="272" spans="1:22" x14ac:dyDescent="0.25">
      <c r="A272" t="s">
        <v>10</v>
      </c>
      <c r="B272" t="s">
        <v>17</v>
      </c>
      <c r="C272" t="s">
        <v>42</v>
      </c>
      <c r="D272" t="s">
        <v>47</v>
      </c>
      <c r="E272">
        <v>570</v>
      </c>
      <c r="F272">
        <v>250</v>
      </c>
      <c r="G272">
        <v>7</v>
      </c>
      <c r="H272">
        <v>3990</v>
      </c>
      <c r="I272">
        <v>199.5</v>
      </c>
      <c r="J272">
        <v>3790.5</v>
      </c>
      <c r="K272">
        <v>2850</v>
      </c>
      <c r="L272">
        <v>940.5</v>
      </c>
      <c r="M272" s="4">
        <v>41974</v>
      </c>
      <c r="N272">
        <v>12</v>
      </c>
      <c r="O272" t="s">
        <v>32</v>
      </c>
      <c r="P272" t="s">
        <v>15</v>
      </c>
      <c r="Q272" s="9">
        <f t="shared" si="12"/>
        <v>0.24812030075187969</v>
      </c>
      <c r="R272" s="9">
        <f t="shared" si="13"/>
        <v>0.75187969924812026</v>
      </c>
      <c r="V272" t="str">
        <f t="shared" si="14"/>
        <v>Good Performance</v>
      </c>
    </row>
    <row r="273" spans="1:22" x14ac:dyDescent="0.25">
      <c r="A273" t="s">
        <v>10</v>
      </c>
      <c r="B273" t="s">
        <v>18</v>
      </c>
      <c r="C273" t="s">
        <v>42</v>
      </c>
      <c r="D273" t="s">
        <v>47</v>
      </c>
      <c r="E273">
        <v>2487</v>
      </c>
      <c r="F273">
        <v>250</v>
      </c>
      <c r="G273">
        <v>7</v>
      </c>
      <c r="H273">
        <v>17409</v>
      </c>
      <c r="I273">
        <v>870.45</v>
      </c>
      <c r="J273">
        <v>16538.55</v>
      </c>
      <c r="K273">
        <v>12435</v>
      </c>
      <c r="L273">
        <v>4103.5499999999993</v>
      </c>
      <c r="M273" s="4">
        <v>41974</v>
      </c>
      <c r="N273">
        <v>12</v>
      </c>
      <c r="O273" t="s">
        <v>32</v>
      </c>
      <c r="P273" t="s">
        <v>15</v>
      </c>
      <c r="Q273" s="9">
        <f t="shared" si="12"/>
        <v>0.24812030075187966</v>
      </c>
      <c r="R273" s="9">
        <f t="shared" si="13"/>
        <v>0.75187969924812037</v>
      </c>
      <c r="V273" t="str">
        <f t="shared" si="14"/>
        <v>Good Performance</v>
      </c>
    </row>
    <row r="274" spans="1:22" x14ac:dyDescent="0.25">
      <c r="A274" t="s">
        <v>10</v>
      </c>
      <c r="B274" t="s">
        <v>19</v>
      </c>
      <c r="C274" t="s">
        <v>43</v>
      </c>
      <c r="D274" t="s">
        <v>47</v>
      </c>
      <c r="E274">
        <v>1350</v>
      </c>
      <c r="F274">
        <v>260</v>
      </c>
      <c r="G274">
        <v>350</v>
      </c>
      <c r="H274">
        <v>472500</v>
      </c>
      <c r="I274">
        <v>23625</v>
      </c>
      <c r="J274">
        <v>448875</v>
      </c>
      <c r="K274">
        <v>351000</v>
      </c>
      <c r="L274">
        <v>97875</v>
      </c>
      <c r="M274" s="4">
        <v>41671</v>
      </c>
      <c r="N274">
        <v>2</v>
      </c>
      <c r="O274" t="s">
        <v>22</v>
      </c>
      <c r="P274" t="s">
        <v>15</v>
      </c>
      <c r="Q274" s="9">
        <f t="shared" si="12"/>
        <v>0.21804511278195488</v>
      </c>
      <c r="R274" s="9">
        <f t="shared" si="13"/>
        <v>0.78195488721804507</v>
      </c>
      <c r="V274" t="str">
        <f t="shared" si="14"/>
        <v>Good Performance</v>
      </c>
    </row>
    <row r="275" spans="1:22" x14ac:dyDescent="0.25">
      <c r="A275" t="s">
        <v>10</v>
      </c>
      <c r="B275" t="s">
        <v>16</v>
      </c>
      <c r="C275" t="s">
        <v>43</v>
      </c>
      <c r="D275" t="s">
        <v>47</v>
      </c>
      <c r="E275">
        <v>552</v>
      </c>
      <c r="F275">
        <v>260</v>
      </c>
      <c r="G275">
        <v>350</v>
      </c>
      <c r="H275">
        <v>193200</v>
      </c>
      <c r="I275">
        <v>9660</v>
      </c>
      <c r="J275">
        <v>183540</v>
      </c>
      <c r="K275">
        <v>143520</v>
      </c>
      <c r="L275">
        <v>40020</v>
      </c>
      <c r="M275" s="4">
        <v>41852</v>
      </c>
      <c r="N275">
        <v>8</v>
      </c>
      <c r="O275" t="s">
        <v>28</v>
      </c>
      <c r="P275" t="s">
        <v>15</v>
      </c>
      <c r="Q275" s="9">
        <f t="shared" si="12"/>
        <v>0.21804511278195488</v>
      </c>
      <c r="R275" s="9">
        <f t="shared" si="13"/>
        <v>0.78195488721804507</v>
      </c>
      <c r="V275" t="str">
        <f t="shared" si="14"/>
        <v>Good Performance</v>
      </c>
    </row>
    <row r="276" spans="1:22" x14ac:dyDescent="0.25">
      <c r="A276" t="s">
        <v>10</v>
      </c>
      <c r="B276" t="s">
        <v>16</v>
      </c>
      <c r="C276" t="s">
        <v>43</v>
      </c>
      <c r="D276" t="s">
        <v>47</v>
      </c>
      <c r="E276">
        <v>1228</v>
      </c>
      <c r="F276">
        <v>260</v>
      </c>
      <c r="G276">
        <v>350</v>
      </c>
      <c r="H276">
        <v>429800</v>
      </c>
      <c r="I276">
        <v>21490</v>
      </c>
      <c r="J276">
        <v>408310</v>
      </c>
      <c r="K276">
        <v>319280</v>
      </c>
      <c r="L276">
        <v>89030</v>
      </c>
      <c r="M276" s="4">
        <v>41548</v>
      </c>
      <c r="N276">
        <v>10</v>
      </c>
      <c r="O276" t="s">
        <v>30</v>
      </c>
      <c r="P276" t="s">
        <v>14</v>
      </c>
      <c r="Q276" s="9">
        <f t="shared" si="12"/>
        <v>0.21804511278195488</v>
      </c>
      <c r="R276" s="9">
        <f t="shared" si="13"/>
        <v>0.78195488721804507</v>
      </c>
      <c r="V276" t="str">
        <f t="shared" si="14"/>
        <v>Good Performance</v>
      </c>
    </row>
    <row r="277" spans="1:22" x14ac:dyDescent="0.25">
      <c r="A277" t="s">
        <v>7</v>
      </c>
      <c r="B277" t="s">
        <v>19</v>
      </c>
      <c r="C277" t="s">
        <v>43</v>
      </c>
      <c r="D277" t="s">
        <v>47</v>
      </c>
      <c r="E277">
        <v>1250</v>
      </c>
      <c r="F277">
        <v>260</v>
      </c>
      <c r="G277">
        <v>300</v>
      </c>
      <c r="H277">
        <v>375000</v>
      </c>
      <c r="I277">
        <v>18750</v>
      </c>
      <c r="J277">
        <v>356250</v>
      </c>
      <c r="K277">
        <v>312500</v>
      </c>
      <c r="L277">
        <v>43750</v>
      </c>
      <c r="M277" s="4">
        <v>41974</v>
      </c>
      <c r="N277">
        <v>12</v>
      </c>
      <c r="O277" t="s">
        <v>32</v>
      </c>
      <c r="P277" t="s">
        <v>15</v>
      </c>
      <c r="Q277" s="9">
        <f t="shared" si="12"/>
        <v>0.12280701754385964</v>
      </c>
      <c r="R277" s="9">
        <f t="shared" si="13"/>
        <v>0.8771929824561403</v>
      </c>
      <c r="V277" t="str">
        <f t="shared" si="14"/>
        <v>Good Performance</v>
      </c>
    </row>
    <row r="278" spans="1:22" x14ac:dyDescent="0.25">
      <c r="A278" t="s">
        <v>8</v>
      </c>
      <c r="B278" t="s">
        <v>18</v>
      </c>
      <c r="C278" t="s">
        <v>40</v>
      </c>
      <c r="D278" t="s">
        <v>47</v>
      </c>
      <c r="E278">
        <v>3801</v>
      </c>
      <c r="F278">
        <v>10</v>
      </c>
      <c r="G278">
        <v>15</v>
      </c>
      <c r="H278">
        <v>57015</v>
      </c>
      <c r="I278">
        <v>3420.8999999999996</v>
      </c>
      <c r="J278">
        <v>53594.100000000006</v>
      </c>
      <c r="K278">
        <v>38010</v>
      </c>
      <c r="L278">
        <v>15584.100000000002</v>
      </c>
      <c r="M278" s="4">
        <v>41730</v>
      </c>
      <c r="N278">
        <v>4</v>
      </c>
      <c r="O278" t="s">
        <v>24</v>
      </c>
      <c r="P278" t="s">
        <v>15</v>
      </c>
      <c r="Q278" s="9">
        <f t="shared" si="12"/>
        <v>0.29078014184397166</v>
      </c>
      <c r="R278" s="9">
        <f t="shared" si="13"/>
        <v>0.70921985815602828</v>
      </c>
      <c r="V278" t="str">
        <f t="shared" si="14"/>
        <v>Good Performance</v>
      </c>
    </row>
    <row r="279" spans="1:22" x14ac:dyDescent="0.25">
      <c r="A279" t="s">
        <v>10</v>
      </c>
      <c r="B279" t="s">
        <v>17</v>
      </c>
      <c r="C279" t="s">
        <v>38</v>
      </c>
      <c r="D279" t="s">
        <v>47</v>
      </c>
      <c r="E279">
        <v>1117.5</v>
      </c>
      <c r="F279">
        <v>3</v>
      </c>
      <c r="G279">
        <v>20</v>
      </c>
      <c r="H279">
        <v>22350</v>
      </c>
      <c r="I279">
        <v>1341</v>
      </c>
      <c r="J279">
        <v>21009</v>
      </c>
      <c r="K279">
        <v>11175</v>
      </c>
      <c r="L279">
        <v>9834</v>
      </c>
      <c r="M279" s="4">
        <v>41640</v>
      </c>
      <c r="N279">
        <v>1</v>
      </c>
      <c r="O279" t="s">
        <v>21</v>
      </c>
      <c r="P279" t="s">
        <v>15</v>
      </c>
      <c r="Q279" s="9">
        <f t="shared" si="12"/>
        <v>0.46808510638297873</v>
      </c>
      <c r="R279" s="9">
        <f t="shared" si="13"/>
        <v>0.53191489361702127</v>
      </c>
      <c r="V279" t="str">
        <f t="shared" si="14"/>
        <v>Good Performance</v>
      </c>
    </row>
    <row r="280" spans="1:22" x14ac:dyDescent="0.25">
      <c r="A280" t="s">
        <v>8</v>
      </c>
      <c r="B280" t="s">
        <v>16</v>
      </c>
      <c r="C280" t="s">
        <v>38</v>
      </c>
      <c r="D280" t="s">
        <v>47</v>
      </c>
      <c r="E280">
        <v>2844</v>
      </c>
      <c r="F280">
        <v>3</v>
      </c>
      <c r="G280">
        <v>15</v>
      </c>
      <c r="H280">
        <v>42660</v>
      </c>
      <c r="I280">
        <v>2559.6</v>
      </c>
      <c r="J280">
        <v>40100.400000000001</v>
      </c>
      <c r="K280">
        <v>28440</v>
      </c>
      <c r="L280">
        <v>11660.400000000001</v>
      </c>
      <c r="M280" s="4">
        <v>41791</v>
      </c>
      <c r="N280">
        <v>6</v>
      </c>
      <c r="O280" t="s">
        <v>26</v>
      </c>
      <c r="P280" t="s">
        <v>15</v>
      </c>
      <c r="Q280" s="9">
        <f t="shared" si="12"/>
        <v>0.29078014184397166</v>
      </c>
      <c r="R280" s="9">
        <f t="shared" si="13"/>
        <v>0.70921985815602839</v>
      </c>
      <c r="V280" t="str">
        <f t="shared" si="14"/>
        <v>Good Performance</v>
      </c>
    </row>
    <row r="281" spans="1:22" x14ac:dyDescent="0.25">
      <c r="A281" t="s">
        <v>11</v>
      </c>
      <c r="B281" t="s">
        <v>20</v>
      </c>
      <c r="C281" t="s">
        <v>38</v>
      </c>
      <c r="D281" t="s">
        <v>47</v>
      </c>
      <c r="E281">
        <v>562</v>
      </c>
      <c r="F281">
        <v>3</v>
      </c>
      <c r="G281">
        <v>12</v>
      </c>
      <c r="H281">
        <v>6744</v>
      </c>
      <c r="I281">
        <v>404.64</v>
      </c>
      <c r="J281">
        <v>6339.36</v>
      </c>
      <c r="K281">
        <v>1686</v>
      </c>
      <c r="L281">
        <v>4653.3599999999997</v>
      </c>
      <c r="M281" s="4">
        <v>41883</v>
      </c>
      <c r="N281">
        <v>9</v>
      </c>
      <c r="O281" t="s">
        <v>29</v>
      </c>
      <c r="P281" t="s">
        <v>15</v>
      </c>
      <c r="Q281" s="9">
        <f t="shared" si="12"/>
        <v>0.73404255319148937</v>
      </c>
      <c r="R281" s="9">
        <f t="shared" si="13"/>
        <v>0.26595744680851063</v>
      </c>
      <c r="V281" t="str">
        <f t="shared" si="14"/>
        <v>Good Performance</v>
      </c>
    </row>
    <row r="282" spans="1:22" x14ac:dyDescent="0.25">
      <c r="A282" t="s">
        <v>11</v>
      </c>
      <c r="B282" t="s">
        <v>16</v>
      </c>
      <c r="C282" t="s">
        <v>38</v>
      </c>
      <c r="D282" t="s">
        <v>47</v>
      </c>
      <c r="E282">
        <v>2299</v>
      </c>
      <c r="F282">
        <v>3</v>
      </c>
      <c r="G282">
        <v>12</v>
      </c>
      <c r="H282">
        <v>27588</v>
      </c>
      <c r="I282">
        <v>1655.28</v>
      </c>
      <c r="J282">
        <v>25932.720000000001</v>
      </c>
      <c r="K282">
        <v>6897</v>
      </c>
      <c r="L282">
        <v>19035.72</v>
      </c>
      <c r="M282" s="4">
        <v>41548</v>
      </c>
      <c r="N282">
        <v>10</v>
      </c>
      <c r="O282" t="s">
        <v>30</v>
      </c>
      <c r="P282" t="s">
        <v>14</v>
      </c>
      <c r="Q282" s="9">
        <f t="shared" si="12"/>
        <v>0.73404255319148937</v>
      </c>
      <c r="R282" s="9">
        <f t="shared" si="13"/>
        <v>0.26595744680851063</v>
      </c>
      <c r="V282" t="str">
        <f t="shared" si="14"/>
        <v>Good Performance</v>
      </c>
    </row>
    <row r="283" spans="1:22" x14ac:dyDescent="0.25">
      <c r="A283" t="s">
        <v>8</v>
      </c>
      <c r="B283" t="s">
        <v>17</v>
      </c>
      <c r="C283" t="s">
        <v>38</v>
      </c>
      <c r="D283" t="s">
        <v>47</v>
      </c>
      <c r="E283">
        <v>2030</v>
      </c>
      <c r="F283">
        <v>3</v>
      </c>
      <c r="G283">
        <v>15</v>
      </c>
      <c r="H283">
        <v>30450</v>
      </c>
      <c r="I283">
        <v>1827</v>
      </c>
      <c r="J283">
        <v>28623</v>
      </c>
      <c r="K283">
        <v>20300</v>
      </c>
      <c r="L283">
        <v>8323</v>
      </c>
      <c r="M283" s="4">
        <v>41944</v>
      </c>
      <c r="N283">
        <v>11</v>
      </c>
      <c r="O283" t="s">
        <v>31</v>
      </c>
      <c r="P283" t="s">
        <v>15</v>
      </c>
      <c r="Q283" s="9">
        <f t="shared" si="12"/>
        <v>0.29078014184397161</v>
      </c>
      <c r="R283" s="9">
        <f t="shared" si="13"/>
        <v>0.70921985815602839</v>
      </c>
      <c r="V283" t="str">
        <f t="shared" si="14"/>
        <v>Good Performance</v>
      </c>
    </row>
    <row r="284" spans="1:22" x14ac:dyDescent="0.25">
      <c r="A284" t="s">
        <v>10</v>
      </c>
      <c r="B284" t="s">
        <v>17</v>
      </c>
      <c r="C284" t="s">
        <v>38</v>
      </c>
      <c r="D284" t="s">
        <v>47</v>
      </c>
      <c r="E284">
        <v>263</v>
      </c>
      <c r="F284">
        <v>3</v>
      </c>
      <c r="G284">
        <v>7</v>
      </c>
      <c r="H284">
        <v>1841</v>
      </c>
      <c r="I284">
        <v>110.46</v>
      </c>
      <c r="J284">
        <v>1730.54</v>
      </c>
      <c r="K284">
        <v>1315</v>
      </c>
      <c r="L284">
        <v>415.53999999999996</v>
      </c>
      <c r="M284" s="4">
        <v>41579</v>
      </c>
      <c r="N284">
        <v>11</v>
      </c>
      <c r="O284" t="s">
        <v>31</v>
      </c>
      <c r="P284" t="s">
        <v>14</v>
      </c>
      <c r="Q284" s="9">
        <f t="shared" si="12"/>
        <v>0.24012158054711244</v>
      </c>
      <c r="R284" s="9">
        <f t="shared" si="13"/>
        <v>0.75987841945288759</v>
      </c>
      <c r="V284" t="str">
        <f t="shared" si="14"/>
        <v>Good Performance</v>
      </c>
    </row>
    <row r="285" spans="1:22" x14ac:dyDescent="0.25">
      <c r="A285" t="s">
        <v>9</v>
      </c>
      <c r="B285" t="s">
        <v>19</v>
      </c>
      <c r="C285" t="s">
        <v>38</v>
      </c>
      <c r="D285" t="s">
        <v>47</v>
      </c>
      <c r="E285">
        <v>887</v>
      </c>
      <c r="F285">
        <v>3</v>
      </c>
      <c r="G285">
        <v>125</v>
      </c>
      <c r="H285">
        <v>110875</v>
      </c>
      <c r="I285">
        <v>6652.5</v>
      </c>
      <c r="J285">
        <v>104222.5</v>
      </c>
      <c r="K285">
        <v>106440</v>
      </c>
      <c r="L285">
        <v>-2217.5</v>
      </c>
      <c r="M285" s="4">
        <v>41609</v>
      </c>
      <c r="N285">
        <v>12</v>
      </c>
      <c r="O285" t="s">
        <v>32</v>
      </c>
      <c r="P285" t="s">
        <v>14</v>
      </c>
      <c r="Q285" s="9">
        <f t="shared" si="12"/>
        <v>-2.1276595744680851E-2</v>
      </c>
      <c r="R285" s="9">
        <f t="shared" si="13"/>
        <v>1.0212765957446808</v>
      </c>
      <c r="V285" t="str">
        <f t="shared" si="14"/>
        <v>Under Review</v>
      </c>
    </row>
    <row r="286" spans="1:22" x14ac:dyDescent="0.25">
      <c r="A286" t="s">
        <v>10</v>
      </c>
      <c r="B286" t="s">
        <v>20</v>
      </c>
      <c r="C286" t="s">
        <v>39</v>
      </c>
      <c r="D286" t="s">
        <v>47</v>
      </c>
      <c r="E286">
        <v>980</v>
      </c>
      <c r="F286">
        <v>5</v>
      </c>
      <c r="G286">
        <v>350</v>
      </c>
      <c r="H286">
        <v>343000</v>
      </c>
      <c r="I286">
        <v>20580</v>
      </c>
      <c r="J286">
        <v>322420</v>
      </c>
      <c r="K286">
        <v>254800</v>
      </c>
      <c r="L286">
        <v>67620</v>
      </c>
      <c r="M286" s="4">
        <v>41730</v>
      </c>
      <c r="N286">
        <v>4</v>
      </c>
      <c r="O286" t="s">
        <v>24</v>
      </c>
      <c r="P286" t="s">
        <v>15</v>
      </c>
      <c r="Q286" s="9">
        <f t="shared" si="12"/>
        <v>0.20972644376899696</v>
      </c>
      <c r="R286" s="9">
        <f t="shared" si="13"/>
        <v>0.79027355623100304</v>
      </c>
      <c r="V286" t="str">
        <f t="shared" si="14"/>
        <v>Good Performance</v>
      </c>
    </row>
    <row r="287" spans="1:22" x14ac:dyDescent="0.25">
      <c r="A287" t="s">
        <v>10</v>
      </c>
      <c r="B287" t="s">
        <v>19</v>
      </c>
      <c r="C287" t="s">
        <v>39</v>
      </c>
      <c r="D287" t="s">
        <v>47</v>
      </c>
      <c r="E287">
        <v>1460</v>
      </c>
      <c r="F287">
        <v>5</v>
      </c>
      <c r="G287">
        <v>350</v>
      </c>
      <c r="H287">
        <v>511000</v>
      </c>
      <c r="I287">
        <v>30660</v>
      </c>
      <c r="J287">
        <v>480340</v>
      </c>
      <c r="K287">
        <v>379600</v>
      </c>
      <c r="L287">
        <v>100740</v>
      </c>
      <c r="M287" s="4">
        <v>41760</v>
      </c>
      <c r="N287">
        <v>5</v>
      </c>
      <c r="O287" t="s">
        <v>25</v>
      </c>
      <c r="P287" t="s">
        <v>15</v>
      </c>
      <c r="Q287" s="9">
        <f t="shared" si="12"/>
        <v>0.20972644376899696</v>
      </c>
      <c r="R287" s="9">
        <f t="shared" si="13"/>
        <v>0.79027355623100304</v>
      </c>
      <c r="V287" t="str">
        <f t="shared" si="14"/>
        <v>Good Performance</v>
      </c>
    </row>
    <row r="288" spans="1:22" x14ac:dyDescent="0.25">
      <c r="A288" t="s">
        <v>10</v>
      </c>
      <c r="B288" t="s">
        <v>18</v>
      </c>
      <c r="C288" t="s">
        <v>39</v>
      </c>
      <c r="D288" t="s">
        <v>47</v>
      </c>
      <c r="E288">
        <v>1403</v>
      </c>
      <c r="F288">
        <v>5</v>
      </c>
      <c r="G288">
        <v>7</v>
      </c>
      <c r="H288">
        <v>9821</v>
      </c>
      <c r="I288">
        <v>589.26</v>
      </c>
      <c r="J288">
        <v>9231.74</v>
      </c>
      <c r="K288">
        <v>7015</v>
      </c>
      <c r="L288">
        <v>2216.7399999999998</v>
      </c>
      <c r="M288" s="4">
        <v>41548</v>
      </c>
      <c r="N288">
        <v>10</v>
      </c>
      <c r="O288" t="s">
        <v>30</v>
      </c>
      <c r="P288" t="s">
        <v>14</v>
      </c>
      <c r="Q288" s="9">
        <f t="shared" si="12"/>
        <v>0.24012158054711244</v>
      </c>
      <c r="R288" s="9">
        <f t="shared" si="13"/>
        <v>0.75987841945288759</v>
      </c>
      <c r="V288" t="str">
        <f t="shared" si="14"/>
        <v>Good Performance</v>
      </c>
    </row>
    <row r="289" spans="1:22" x14ac:dyDescent="0.25">
      <c r="A289" t="s">
        <v>11</v>
      </c>
      <c r="B289" t="s">
        <v>17</v>
      </c>
      <c r="C289" t="s">
        <v>39</v>
      </c>
      <c r="D289" t="s">
        <v>47</v>
      </c>
      <c r="E289">
        <v>2723</v>
      </c>
      <c r="F289">
        <v>5</v>
      </c>
      <c r="G289">
        <v>12</v>
      </c>
      <c r="H289">
        <v>32676</v>
      </c>
      <c r="I289">
        <v>1960.56</v>
      </c>
      <c r="J289">
        <v>30715.439999999999</v>
      </c>
      <c r="K289">
        <v>8169</v>
      </c>
      <c r="L289">
        <v>22546.44</v>
      </c>
      <c r="M289" s="4">
        <v>41944</v>
      </c>
      <c r="N289">
        <v>11</v>
      </c>
      <c r="O289" t="s">
        <v>31</v>
      </c>
      <c r="P289" t="s">
        <v>15</v>
      </c>
      <c r="Q289" s="9">
        <f t="shared" si="12"/>
        <v>0.73404255319148937</v>
      </c>
      <c r="R289" s="9">
        <f t="shared" si="13"/>
        <v>0.26595744680851063</v>
      </c>
      <c r="V289" t="str">
        <f t="shared" si="14"/>
        <v>Good Performance</v>
      </c>
    </row>
    <row r="290" spans="1:22" x14ac:dyDescent="0.25">
      <c r="A290" t="s">
        <v>10</v>
      </c>
      <c r="B290" t="s">
        <v>18</v>
      </c>
      <c r="C290" t="s">
        <v>40</v>
      </c>
      <c r="D290" t="s">
        <v>47</v>
      </c>
      <c r="E290">
        <v>1496</v>
      </c>
      <c r="F290">
        <v>10</v>
      </c>
      <c r="G290">
        <v>350</v>
      </c>
      <c r="H290">
        <v>523600</v>
      </c>
      <c r="I290">
        <v>31416</v>
      </c>
      <c r="J290">
        <v>492184</v>
      </c>
      <c r="K290">
        <v>388960</v>
      </c>
      <c r="L290">
        <v>103224</v>
      </c>
      <c r="M290" s="4">
        <v>41791</v>
      </c>
      <c r="N290">
        <v>6</v>
      </c>
      <c r="O290" t="s">
        <v>26</v>
      </c>
      <c r="P290" t="s">
        <v>15</v>
      </c>
      <c r="Q290" s="9">
        <f t="shared" si="12"/>
        <v>0.20972644376899696</v>
      </c>
      <c r="R290" s="9">
        <f t="shared" si="13"/>
        <v>0.79027355623100304</v>
      </c>
      <c r="V290" t="str">
        <f t="shared" si="14"/>
        <v>Good Performance</v>
      </c>
    </row>
    <row r="291" spans="1:22" x14ac:dyDescent="0.25">
      <c r="A291" t="s">
        <v>11</v>
      </c>
      <c r="B291" t="s">
        <v>16</v>
      </c>
      <c r="C291" t="s">
        <v>40</v>
      </c>
      <c r="D291" t="s">
        <v>47</v>
      </c>
      <c r="E291">
        <v>2299</v>
      </c>
      <c r="F291">
        <v>10</v>
      </c>
      <c r="G291">
        <v>12</v>
      </c>
      <c r="H291">
        <v>27588</v>
      </c>
      <c r="I291">
        <v>1655.28</v>
      </c>
      <c r="J291">
        <v>25932.720000000001</v>
      </c>
      <c r="K291">
        <v>6897</v>
      </c>
      <c r="L291">
        <v>19035.72</v>
      </c>
      <c r="M291" s="4">
        <v>41548</v>
      </c>
      <c r="N291">
        <v>10</v>
      </c>
      <c r="O291" t="s">
        <v>30</v>
      </c>
      <c r="P291" t="s">
        <v>14</v>
      </c>
      <c r="Q291" s="9">
        <f t="shared" si="12"/>
        <v>0.73404255319148937</v>
      </c>
      <c r="R291" s="9">
        <f t="shared" si="13"/>
        <v>0.26595744680851063</v>
      </c>
      <c r="V291" t="str">
        <f t="shared" si="14"/>
        <v>Good Performance</v>
      </c>
    </row>
    <row r="292" spans="1:22" x14ac:dyDescent="0.25">
      <c r="A292" t="s">
        <v>10</v>
      </c>
      <c r="B292" t="s">
        <v>17</v>
      </c>
      <c r="C292" t="s">
        <v>40</v>
      </c>
      <c r="D292" t="s">
        <v>47</v>
      </c>
      <c r="E292">
        <v>727</v>
      </c>
      <c r="F292">
        <v>10</v>
      </c>
      <c r="G292">
        <v>350</v>
      </c>
      <c r="H292">
        <v>254450</v>
      </c>
      <c r="I292">
        <v>15267</v>
      </c>
      <c r="J292">
        <v>239183</v>
      </c>
      <c r="K292">
        <v>189020</v>
      </c>
      <c r="L292">
        <v>50163</v>
      </c>
      <c r="M292" s="4">
        <v>41548</v>
      </c>
      <c r="N292">
        <v>10</v>
      </c>
      <c r="O292" t="s">
        <v>30</v>
      </c>
      <c r="P292" t="s">
        <v>14</v>
      </c>
      <c r="Q292" s="9">
        <f t="shared" si="12"/>
        <v>0.20972644376899696</v>
      </c>
      <c r="R292" s="9">
        <f t="shared" si="13"/>
        <v>0.79027355623100304</v>
      </c>
      <c r="V292" t="str">
        <f t="shared" si="14"/>
        <v>Good Performance</v>
      </c>
    </row>
    <row r="293" spans="1:22" x14ac:dyDescent="0.25">
      <c r="A293" t="s">
        <v>9</v>
      </c>
      <c r="B293" t="s">
        <v>16</v>
      </c>
      <c r="C293" t="s">
        <v>41</v>
      </c>
      <c r="D293" t="s">
        <v>47</v>
      </c>
      <c r="E293">
        <v>952</v>
      </c>
      <c r="F293">
        <v>120</v>
      </c>
      <c r="G293">
        <v>125</v>
      </c>
      <c r="H293">
        <v>119000</v>
      </c>
      <c r="I293">
        <v>7140</v>
      </c>
      <c r="J293">
        <v>111860</v>
      </c>
      <c r="K293">
        <v>114240</v>
      </c>
      <c r="L293">
        <v>-2380</v>
      </c>
      <c r="M293" s="4">
        <v>41671</v>
      </c>
      <c r="N293">
        <v>2</v>
      </c>
      <c r="O293" t="s">
        <v>22</v>
      </c>
      <c r="P293" t="s">
        <v>15</v>
      </c>
      <c r="Q293" s="9">
        <f t="shared" si="12"/>
        <v>-2.1276595744680851E-2</v>
      </c>
      <c r="R293" s="9">
        <f t="shared" si="13"/>
        <v>1.0212765957446808</v>
      </c>
      <c r="V293" t="str">
        <f t="shared" si="14"/>
        <v>Under Review</v>
      </c>
    </row>
    <row r="294" spans="1:22" x14ac:dyDescent="0.25">
      <c r="A294" t="s">
        <v>9</v>
      </c>
      <c r="B294" t="s">
        <v>17</v>
      </c>
      <c r="C294" t="s">
        <v>41</v>
      </c>
      <c r="D294" t="s">
        <v>47</v>
      </c>
      <c r="E294">
        <v>2755</v>
      </c>
      <c r="F294">
        <v>120</v>
      </c>
      <c r="G294">
        <v>125</v>
      </c>
      <c r="H294">
        <v>344375</v>
      </c>
      <c r="I294">
        <v>20662.5</v>
      </c>
      <c r="J294">
        <v>323712.5</v>
      </c>
      <c r="K294">
        <v>330600</v>
      </c>
      <c r="L294">
        <v>-6887.5</v>
      </c>
      <c r="M294" s="4">
        <v>41671</v>
      </c>
      <c r="N294">
        <v>2</v>
      </c>
      <c r="O294" t="s">
        <v>22</v>
      </c>
      <c r="P294" t="s">
        <v>15</v>
      </c>
      <c r="Q294" s="9">
        <f t="shared" si="12"/>
        <v>-2.1276595744680851E-2</v>
      </c>
      <c r="R294" s="9">
        <f t="shared" si="13"/>
        <v>1.0212765957446808</v>
      </c>
      <c r="V294" t="str">
        <f t="shared" si="14"/>
        <v>Under Review</v>
      </c>
    </row>
    <row r="295" spans="1:22" x14ac:dyDescent="0.25">
      <c r="A295" t="s">
        <v>8</v>
      </c>
      <c r="B295" t="s">
        <v>19</v>
      </c>
      <c r="C295" t="s">
        <v>41</v>
      </c>
      <c r="D295" t="s">
        <v>47</v>
      </c>
      <c r="E295">
        <v>1530</v>
      </c>
      <c r="F295">
        <v>120</v>
      </c>
      <c r="G295">
        <v>15</v>
      </c>
      <c r="H295">
        <v>22950</v>
      </c>
      <c r="I295">
        <v>1377</v>
      </c>
      <c r="J295">
        <v>21573</v>
      </c>
      <c r="K295">
        <v>15300</v>
      </c>
      <c r="L295">
        <v>6273</v>
      </c>
      <c r="M295" s="4">
        <v>41760</v>
      </c>
      <c r="N295">
        <v>5</v>
      </c>
      <c r="O295" t="s">
        <v>25</v>
      </c>
      <c r="P295" t="s">
        <v>15</v>
      </c>
      <c r="Q295" s="9">
        <f t="shared" si="12"/>
        <v>0.29078014184397161</v>
      </c>
      <c r="R295" s="9">
        <f t="shared" si="13"/>
        <v>0.70921985815602839</v>
      </c>
      <c r="V295" t="str">
        <f t="shared" si="14"/>
        <v>Good Performance</v>
      </c>
    </row>
    <row r="296" spans="1:22" x14ac:dyDescent="0.25">
      <c r="A296" t="s">
        <v>10</v>
      </c>
      <c r="B296" t="s">
        <v>18</v>
      </c>
      <c r="C296" t="s">
        <v>41</v>
      </c>
      <c r="D296" t="s">
        <v>47</v>
      </c>
      <c r="E296">
        <v>1496</v>
      </c>
      <c r="F296">
        <v>120</v>
      </c>
      <c r="G296">
        <v>350</v>
      </c>
      <c r="H296">
        <v>523600</v>
      </c>
      <c r="I296">
        <v>31416</v>
      </c>
      <c r="J296">
        <v>492184</v>
      </c>
      <c r="K296">
        <v>388960</v>
      </c>
      <c r="L296">
        <v>103224</v>
      </c>
      <c r="M296" s="4">
        <v>41791</v>
      </c>
      <c r="N296">
        <v>6</v>
      </c>
      <c r="O296" t="s">
        <v>26</v>
      </c>
      <c r="P296" t="s">
        <v>15</v>
      </c>
      <c r="Q296" s="9">
        <f t="shared" si="12"/>
        <v>0.20972644376899696</v>
      </c>
      <c r="R296" s="9">
        <f t="shared" si="13"/>
        <v>0.79027355623100304</v>
      </c>
      <c r="V296" t="str">
        <f t="shared" si="14"/>
        <v>Good Performance</v>
      </c>
    </row>
    <row r="297" spans="1:22" x14ac:dyDescent="0.25">
      <c r="A297" t="s">
        <v>10</v>
      </c>
      <c r="B297" t="s">
        <v>20</v>
      </c>
      <c r="C297" t="s">
        <v>41</v>
      </c>
      <c r="D297" t="s">
        <v>47</v>
      </c>
      <c r="E297">
        <v>1498</v>
      </c>
      <c r="F297">
        <v>120</v>
      </c>
      <c r="G297">
        <v>7</v>
      </c>
      <c r="H297">
        <v>10486</v>
      </c>
      <c r="I297">
        <v>629.16</v>
      </c>
      <c r="J297">
        <v>9856.84</v>
      </c>
      <c r="K297">
        <v>7490</v>
      </c>
      <c r="L297">
        <v>2366.84</v>
      </c>
      <c r="M297" s="4">
        <v>41791</v>
      </c>
      <c r="N297">
        <v>6</v>
      </c>
      <c r="O297" t="s">
        <v>26</v>
      </c>
      <c r="P297" t="s">
        <v>15</v>
      </c>
      <c r="Q297" s="9">
        <f t="shared" si="12"/>
        <v>0.24012158054711247</v>
      </c>
      <c r="R297" s="9">
        <f t="shared" si="13"/>
        <v>0.75987841945288748</v>
      </c>
      <c r="V297" t="str">
        <f t="shared" si="14"/>
        <v>Good Performance</v>
      </c>
    </row>
    <row r="298" spans="1:22" x14ac:dyDescent="0.25">
      <c r="A298" t="s">
        <v>7</v>
      </c>
      <c r="B298" t="s">
        <v>18</v>
      </c>
      <c r="C298" t="s">
        <v>41</v>
      </c>
      <c r="D298" t="s">
        <v>47</v>
      </c>
      <c r="E298">
        <v>1221</v>
      </c>
      <c r="F298">
        <v>120</v>
      </c>
      <c r="G298">
        <v>300</v>
      </c>
      <c r="H298">
        <v>366300</v>
      </c>
      <c r="I298">
        <v>21978</v>
      </c>
      <c r="J298">
        <v>344322</v>
      </c>
      <c r="K298">
        <v>305250</v>
      </c>
      <c r="L298">
        <v>39072</v>
      </c>
      <c r="M298" s="4">
        <v>41548</v>
      </c>
      <c r="N298">
        <v>10</v>
      </c>
      <c r="O298" t="s">
        <v>30</v>
      </c>
      <c r="P298" t="s">
        <v>14</v>
      </c>
      <c r="Q298" s="9">
        <f t="shared" si="12"/>
        <v>0.11347517730496454</v>
      </c>
      <c r="R298" s="9">
        <f t="shared" si="13"/>
        <v>0.88652482269503541</v>
      </c>
      <c r="V298" t="str">
        <f t="shared" si="14"/>
        <v>Good Performance</v>
      </c>
    </row>
    <row r="299" spans="1:22" x14ac:dyDescent="0.25">
      <c r="A299" t="s">
        <v>10</v>
      </c>
      <c r="B299" t="s">
        <v>18</v>
      </c>
      <c r="C299" t="s">
        <v>41</v>
      </c>
      <c r="D299" t="s">
        <v>47</v>
      </c>
      <c r="E299">
        <v>2076</v>
      </c>
      <c r="F299">
        <v>120</v>
      </c>
      <c r="G299">
        <v>350</v>
      </c>
      <c r="H299">
        <v>726600</v>
      </c>
      <c r="I299">
        <v>43596</v>
      </c>
      <c r="J299">
        <v>683004</v>
      </c>
      <c r="K299">
        <v>539760</v>
      </c>
      <c r="L299">
        <v>143244</v>
      </c>
      <c r="M299" s="4">
        <v>41548</v>
      </c>
      <c r="N299">
        <v>10</v>
      </c>
      <c r="O299" t="s">
        <v>30</v>
      </c>
      <c r="P299" t="s">
        <v>14</v>
      </c>
      <c r="Q299" s="9">
        <f t="shared" si="12"/>
        <v>0.20972644376899696</v>
      </c>
      <c r="R299" s="9">
        <f t="shared" si="13"/>
        <v>0.79027355623100304</v>
      </c>
      <c r="V299" t="str">
        <f t="shared" si="14"/>
        <v>Good Performance</v>
      </c>
    </row>
    <row r="300" spans="1:22" x14ac:dyDescent="0.25">
      <c r="A300" t="s">
        <v>8</v>
      </c>
      <c r="B300" t="s">
        <v>16</v>
      </c>
      <c r="C300" t="s">
        <v>42</v>
      </c>
      <c r="D300" t="s">
        <v>47</v>
      </c>
      <c r="E300">
        <v>2844</v>
      </c>
      <c r="F300">
        <v>250</v>
      </c>
      <c r="G300">
        <v>15</v>
      </c>
      <c r="H300">
        <v>42660</v>
      </c>
      <c r="I300">
        <v>2559.6</v>
      </c>
      <c r="J300">
        <v>40100.400000000001</v>
      </c>
      <c r="K300">
        <v>28440</v>
      </c>
      <c r="L300">
        <v>11660.400000000001</v>
      </c>
      <c r="M300" s="4">
        <v>41791</v>
      </c>
      <c r="N300">
        <v>6</v>
      </c>
      <c r="O300" t="s">
        <v>26</v>
      </c>
      <c r="P300" t="s">
        <v>15</v>
      </c>
      <c r="Q300" s="9">
        <f t="shared" si="12"/>
        <v>0.29078014184397166</v>
      </c>
      <c r="R300" s="9">
        <f t="shared" si="13"/>
        <v>0.70921985815602839</v>
      </c>
      <c r="V300" t="str">
        <f t="shared" si="14"/>
        <v>Good Performance</v>
      </c>
    </row>
    <row r="301" spans="1:22" x14ac:dyDescent="0.25">
      <c r="A301" t="s">
        <v>10</v>
      </c>
      <c r="B301" t="s">
        <v>20</v>
      </c>
      <c r="C301" t="s">
        <v>42</v>
      </c>
      <c r="D301" t="s">
        <v>47</v>
      </c>
      <c r="E301">
        <v>1498</v>
      </c>
      <c r="F301">
        <v>250</v>
      </c>
      <c r="G301">
        <v>7</v>
      </c>
      <c r="H301">
        <v>10486</v>
      </c>
      <c r="I301">
        <v>629.16</v>
      </c>
      <c r="J301">
        <v>9856.84</v>
      </c>
      <c r="K301">
        <v>7490</v>
      </c>
      <c r="L301">
        <v>2366.84</v>
      </c>
      <c r="M301" s="4">
        <v>41791</v>
      </c>
      <c r="N301">
        <v>6</v>
      </c>
      <c r="O301" t="s">
        <v>26</v>
      </c>
      <c r="P301" t="s">
        <v>15</v>
      </c>
      <c r="Q301" s="9">
        <f t="shared" si="12"/>
        <v>0.24012158054711247</v>
      </c>
      <c r="R301" s="9">
        <f t="shared" si="13"/>
        <v>0.75987841945288748</v>
      </c>
      <c r="V301" t="str">
        <f t="shared" si="14"/>
        <v>Good Performance</v>
      </c>
    </row>
    <row r="302" spans="1:22" x14ac:dyDescent="0.25">
      <c r="A302" t="s">
        <v>7</v>
      </c>
      <c r="B302" t="s">
        <v>18</v>
      </c>
      <c r="C302" t="s">
        <v>42</v>
      </c>
      <c r="D302" t="s">
        <v>47</v>
      </c>
      <c r="E302">
        <v>1221</v>
      </c>
      <c r="F302">
        <v>250</v>
      </c>
      <c r="G302">
        <v>300</v>
      </c>
      <c r="H302">
        <v>366300</v>
      </c>
      <c r="I302">
        <v>21978</v>
      </c>
      <c r="J302">
        <v>344322</v>
      </c>
      <c r="K302">
        <v>305250</v>
      </c>
      <c r="L302">
        <v>39072</v>
      </c>
      <c r="M302" s="4">
        <v>41548</v>
      </c>
      <c r="N302">
        <v>10</v>
      </c>
      <c r="O302" t="s">
        <v>30</v>
      </c>
      <c r="P302" t="s">
        <v>14</v>
      </c>
      <c r="Q302" s="9">
        <f t="shared" si="12"/>
        <v>0.11347517730496454</v>
      </c>
      <c r="R302" s="9">
        <f t="shared" si="13"/>
        <v>0.88652482269503541</v>
      </c>
      <c r="V302" t="str">
        <f t="shared" si="14"/>
        <v>Good Performance</v>
      </c>
    </row>
    <row r="303" spans="1:22" x14ac:dyDescent="0.25">
      <c r="A303" t="s">
        <v>10</v>
      </c>
      <c r="B303" t="s">
        <v>20</v>
      </c>
      <c r="C303" t="s">
        <v>42</v>
      </c>
      <c r="D303" t="s">
        <v>47</v>
      </c>
      <c r="E303">
        <v>1123</v>
      </c>
      <c r="F303">
        <v>250</v>
      </c>
      <c r="G303">
        <v>20</v>
      </c>
      <c r="H303">
        <v>22460</v>
      </c>
      <c r="I303">
        <v>1347.6</v>
      </c>
      <c r="J303">
        <v>21112.400000000001</v>
      </c>
      <c r="K303">
        <v>11230</v>
      </c>
      <c r="L303">
        <v>9882.4000000000015</v>
      </c>
      <c r="M303" s="4">
        <v>41579</v>
      </c>
      <c r="N303">
        <v>11</v>
      </c>
      <c r="O303" t="s">
        <v>31</v>
      </c>
      <c r="P303" t="s">
        <v>14</v>
      </c>
      <c r="Q303" s="9">
        <f t="shared" si="12"/>
        <v>0.46808510638297873</v>
      </c>
      <c r="R303" s="9">
        <f t="shared" si="13"/>
        <v>0.53191489361702127</v>
      </c>
      <c r="V303" t="str">
        <f t="shared" si="14"/>
        <v>Good Performance</v>
      </c>
    </row>
    <row r="304" spans="1:22" x14ac:dyDescent="0.25">
      <c r="A304" t="s">
        <v>7</v>
      </c>
      <c r="B304" t="s">
        <v>16</v>
      </c>
      <c r="C304" t="s">
        <v>42</v>
      </c>
      <c r="D304" t="s">
        <v>47</v>
      </c>
      <c r="E304">
        <v>2436</v>
      </c>
      <c r="F304">
        <v>250</v>
      </c>
      <c r="G304">
        <v>300</v>
      </c>
      <c r="H304">
        <v>730800</v>
      </c>
      <c r="I304">
        <v>43848</v>
      </c>
      <c r="J304">
        <v>686952</v>
      </c>
      <c r="K304">
        <v>609000</v>
      </c>
      <c r="L304">
        <v>77952</v>
      </c>
      <c r="M304" s="4">
        <v>41609</v>
      </c>
      <c r="N304">
        <v>12</v>
      </c>
      <c r="O304" t="s">
        <v>32</v>
      </c>
      <c r="P304" t="s">
        <v>14</v>
      </c>
      <c r="Q304" s="9">
        <f t="shared" si="12"/>
        <v>0.11347517730496454</v>
      </c>
      <c r="R304" s="9">
        <f t="shared" si="13"/>
        <v>0.88652482269503541</v>
      </c>
      <c r="V304" t="str">
        <f t="shared" si="14"/>
        <v>Good Performance</v>
      </c>
    </row>
    <row r="305" spans="1:22" x14ac:dyDescent="0.25">
      <c r="A305" t="s">
        <v>9</v>
      </c>
      <c r="B305" t="s">
        <v>18</v>
      </c>
      <c r="C305" t="s">
        <v>43</v>
      </c>
      <c r="D305" t="s">
        <v>47</v>
      </c>
      <c r="E305">
        <v>1987.5</v>
      </c>
      <c r="F305">
        <v>260</v>
      </c>
      <c r="G305">
        <v>125</v>
      </c>
      <c r="H305">
        <v>248437.5</v>
      </c>
      <c r="I305">
        <v>14906.25</v>
      </c>
      <c r="J305">
        <v>233531.25</v>
      </c>
      <c r="K305">
        <v>238500</v>
      </c>
      <c r="L305">
        <v>-4968.75</v>
      </c>
      <c r="M305" s="4">
        <v>41640</v>
      </c>
      <c r="N305">
        <v>1</v>
      </c>
      <c r="O305" t="s">
        <v>21</v>
      </c>
      <c r="P305" t="s">
        <v>15</v>
      </c>
      <c r="Q305" s="9">
        <f t="shared" si="12"/>
        <v>-2.1276595744680851E-2</v>
      </c>
      <c r="R305" s="9">
        <f t="shared" si="13"/>
        <v>1.0212765957446808</v>
      </c>
      <c r="V305" t="str">
        <f t="shared" si="14"/>
        <v>Under Review</v>
      </c>
    </row>
    <row r="306" spans="1:22" x14ac:dyDescent="0.25">
      <c r="A306" t="s">
        <v>10</v>
      </c>
      <c r="B306" t="s">
        <v>20</v>
      </c>
      <c r="C306" t="s">
        <v>43</v>
      </c>
      <c r="D306" t="s">
        <v>47</v>
      </c>
      <c r="E306">
        <v>1679</v>
      </c>
      <c r="F306">
        <v>260</v>
      </c>
      <c r="G306">
        <v>350</v>
      </c>
      <c r="H306">
        <v>587650</v>
      </c>
      <c r="I306">
        <v>35259</v>
      </c>
      <c r="J306">
        <v>552391</v>
      </c>
      <c r="K306">
        <v>436540</v>
      </c>
      <c r="L306">
        <v>115851</v>
      </c>
      <c r="M306" s="4">
        <v>41883</v>
      </c>
      <c r="N306">
        <v>9</v>
      </c>
      <c r="O306" t="s">
        <v>29</v>
      </c>
      <c r="P306" t="s">
        <v>15</v>
      </c>
      <c r="Q306" s="9">
        <f t="shared" si="12"/>
        <v>0.20972644376899696</v>
      </c>
      <c r="R306" s="9">
        <f t="shared" si="13"/>
        <v>0.79027355623100304</v>
      </c>
      <c r="V306" t="str">
        <f t="shared" si="14"/>
        <v>Good Performance</v>
      </c>
    </row>
    <row r="307" spans="1:22" x14ac:dyDescent="0.25">
      <c r="A307" t="s">
        <v>10</v>
      </c>
      <c r="B307" t="s">
        <v>17</v>
      </c>
      <c r="C307" t="s">
        <v>43</v>
      </c>
      <c r="D307" t="s">
        <v>47</v>
      </c>
      <c r="E307">
        <v>727</v>
      </c>
      <c r="F307">
        <v>260</v>
      </c>
      <c r="G307">
        <v>350</v>
      </c>
      <c r="H307">
        <v>254450</v>
      </c>
      <c r="I307">
        <v>15267</v>
      </c>
      <c r="J307">
        <v>239183</v>
      </c>
      <c r="K307">
        <v>189020</v>
      </c>
      <c r="L307">
        <v>50163</v>
      </c>
      <c r="M307" s="4">
        <v>41548</v>
      </c>
      <c r="N307">
        <v>10</v>
      </c>
      <c r="O307" t="s">
        <v>30</v>
      </c>
      <c r="P307" t="s">
        <v>14</v>
      </c>
      <c r="Q307" s="9">
        <f t="shared" si="12"/>
        <v>0.20972644376899696</v>
      </c>
      <c r="R307" s="9">
        <f t="shared" si="13"/>
        <v>0.79027355623100304</v>
      </c>
      <c r="V307" t="str">
        <f t="shared" si="14"/>
        <v>Good Performance</v>
      </c>
    </row>
    <row r="308" spans="1:22" x14ac:dyDescent="0.25">
      <c r="A308" t="s">
        <v>10</v>
      </c>
      <c r="B308" t="s">
        <v>18</v>
      </c>
      <c r="C308" t="s">
        <v>43</v>
      </c>
      <c r="D308" t="s">
        <v>47</v>
      </c>
      <c r="E308">
        <v>1403</v>
      </c>
      <c r="F308">
        <v>260</v>
      </c>
      <c r="G308">
        <v>7</v>
      </c>
      <c r="H308">
        <v>9821</v>
      </c>
      <c r="I308">
        <v>589.26</v>
      </c>
      <c r="J308">
        <v>9231.74</v>
      </c>
      <c r="K308">
        <v>7015</v>
      </c>
      <c r="L308">
        <v>2216.7399999999998</v>
      </c>
      <c r="M308" s="4">
        <v>41548</v>
      </c>
      <c r="N308">
        <v>10</v>
      </c>
      <c r="O308" t="s">
        <v>30</v>
      </c>
      <c r="P308" t="s">
        <v>14</v>
      </c>
      <c r="Q308" s="9">
        <f t="shared" si="12"/>
        <v>0.24012158054711244</v>
      </c>
      <c r="R308" s="9">
        <f t="shared" si="13"/>
        <v>0.75987841945288759</v>
      </c>
      <c r="V308" t="str">
        <f t="shared" si="14"/>
        <v>Good Performance</v>
      </c>
    </row>
    <row r="309" spans="1:22" x14ac:dyDescent="0.25">
      <c r="A309" t="s">
        <v>10</v>
      </c>
      <c r="B309" t="s">
        <v>18</v>
      </c>
      <c r="C309" t="s">
        <v>43</v>
      </c>
      <c r="D309" t="s">
        <v>47</v>
      </c>
      <c r="E309">
        <v>2076</v>
      </c>
      <c r="F309">
        <v>260</v>
      </c>
      <c r="G309">
        <v>350</v>
      </c>
      <c r="H309">
        <v>726600</v>
      </c>
      <c r="I309">
        <v>43596</v>
      </c>
      <c r="J309">
        <v>683004</v>
      </c>
      <c r="K309">
        <v>539760</v>
      </c>
      <c r="L309">
        <v>143244</v>
      </c>
      <c r="M309" s="4">
        <v>41548</v>
      </c>
      <c r="N309">
        <v>10</v>
      </c>
      <c r="O309" t="s">
        <v>30</v>
      </c>
      <c r="P309" t="s">
        <v>14</v>
      </c>
      <c r="Q309" s="9">
        <f t="shared" si="12"/>
        <v>0.20972644376899696</v>
      </c>
      <c r="R309" s="9">
        <f t="shared" si="13"/>
        <v>0.79027355623100304</v>
      </c>
      <c r="V309" t="str">
        <f t="shared" si="14"/>
        <v>Good Performance</v>
      </c>
    </row>
    <row r="310" spans="1:22" x14ac:dyDescent="0.25">
      <c r="A310" t="s">
        <v>10</v>
      </c>
      <c r="B310" t="s">
        <v>18</v>
      </c>
      <c r="C310" t="s">
        <v>39</v>
      </c>
      <c r="D310" t="s">
        <v>47</v>
      </c>
      <c r="E310">
        <v>1757</v>
      </c>
      <c r="F310">
        <v>5</v>
      </c>
      <c r="G310">
        <v>20</v>
      </c>
      <c r="H310">
        <v>35140</v>
      </c>
      <c r="I310">
        <v>2108.4</v>
      </c>
      <c r="J310">
        <v>33031.599999999999</v>
      </c>
      <c r="K310">
        <v>17570</v>
      </c>
      <c r="L310">
        <v>15461.599999999999</v>
      </c>
      <c r="M310" s="4">
        <v>41548</v>
      </c>
      <c r="N310">
        <v>10</v>
      </c>
      <c r="O310" t="s">
        <v>30</v>
      </c>
      <c r="P310" t="s">
        <v>14</v>
      </c>
      <c r="Q310" s="9">
        <f t="shared" si="12"/>
        <v>0.46808510638297868</v>
      </c>
      <c r="R310" s="9">
        <f t="shared" si="13"/>
        <v>0.53191489361702127</v>
      </c>
      <c r="V310" t="str">
        <f t="shared" si="14"/>
        <v>Good Performance</v>
      </c>
    </row>
    <row r="311" spans="1:22" x14ac:dyDescent="0.25">
      <c r="A311" t="s">
        <v>8</v>
      </c>
      <c r="B311" t="s">
        <v>17</v>
      </c>
      <c r="C311" t="s">
        <v>40</v>
      </c>
      <c r="D311" t="s">
        <v>47</v>
      </c>
      <c r="E311">
        <v>2198</v>
      </c>
      <c r="F311">
        <v>10</v>
      </c>
      <c r="G311">
        <v>15</v>
      </c>
      <c r="H311">
        <v>32970</v>
      </c>
      <c r="I311">
        <v>1978.2</v>
      </c>
      <c r="J311">
        <v>30991.8</v>
      </c>
      <c r="K311">
        <v>21980</v>
      </c>
      <c r="L311">
        <v>9011.7999999999993</v>
      </c>
      <c r="M311" s="4">
        <v>41852</v>
      </c>
      <c r="N311">
        <v>8</v>
      </c>
      <c r="O311" t="s">
        <v>28</v>
      </c>
      <c r="P311" t="s">
        <v>15</v>
      </c>
      <c r="Q311" s="9">
        <f t="shared" si="12"/>
        <v>0.29078014184397161</v>
      </c>
      <c r="R311" s="9">
        <f t="shared" si="13"/>
        <v>0.70921985815602839</v>
      </c>
      <c r="V311" t="str">
        <f t="shared" si="14"/>
        <v>Good Performance</v>
      </c>
    </row>
    <row r="312" spans="1:22" x14ac:dyDescent="0.25">
      <c r="A312" t="s">
        <v>8</v>
      </c>
      <c r="B312" t="s">
        <v>19</v>
      </c>
      <c r="C312" t="s">
        <v>40</v>
      </c>
      <c r="D312" t="s">
        <v>47</v>
      </c>
      <c r="E312">
        <v>1743</v>
      </c>
      <c r="F312">
        <v>10</v>
      </c>
      <c r="G312">
        <v>15</v>
      </c>
      <c r="H312">
        <v>26145</v>
      </c>
      <c r="I312">
        <v>1568.7</v>
      </c>
      <c r="J312">
        <v>24576.3</v>
      </c>
      <c r="K312">
        <v>17430</v>
      </c>
      <c r="L312">
        <v>7146.2999999999993</v>
      </c>
      <c r="M312" s="4">
        <v>41852</v>
      </c>
      <c r="N312">
        <v>8</v>
      </c>
      <c r="O312" t="s">
        <v>28</v>
      </c>
      <c r="P312" t="s">
        <v>15</v>
      </c>
      <c r="Q312" s="9">
        <f t="shared" si="12"/>
        <v>0.29078014184397161</v>
      </c>
      <c r="R312" s="9">
        <f t="shared" si="13"/>
        <v>0.70921985815602839</v>
      </c>
      <c r="V312" t="str">
        <f t="shared" si="14"/>
        <v>Good Performance</v>
      </c>
    </row>
    <row r="313" spans="1:22" x14ac:dyDescent="0.25">
      <c r="A313" t="s">
        <v>8</v>
      </c>
      <c r="B313" t="s">
        <v>17</v>
      </c>
      <c r="C313" t="s">
        <v>40</v>
      </c>
      <c r="D313" t="s">
        <v>47</v>
      </c>
      <c r="E313">
        <v>1153</v>
      </c>
      <c r="F313">
        <v>10</v>
      </c>
      <c r="G313">
        <v>15</v>
      </c>
      <c r="H313">
        <v>17295</v>
      </c>
      <c r="I313">
        <v>1037.7</v>
      </c>
      <c r="J313">
        <v>16257.3</v>
      </c>
      <c r="K313">
        <v>11530</v>
      </c>
      <c r="L313">
        <v>4727.2999999999993</v>
      </c>
      <c r="M313" s="4">
        <v>41913</v>
      </c>
      <c r="N313">
        <v>10</v>
      </c>
      <c r="O313" t="s">
        <v>30</v>
      </c>
      <c r="P313" t="s">
        <v>15</v>
      </c>
      <c r="Q313" s="9">
        <f t="shared" si="12"/>
        <v>0.29078014184397161</v>
      </c>
      <c r="R313" s="9">
        <f t="shared" si="13"/>
        <v>0.70921985815602839</v>
      </c>
      <c r="V313" t="str">
        <f t="shared" si="14"/>
        <v>Good Performance</v>
      </c>
    </row>
    <row r="314" spans="1:22" x14ac:dyDescent="0.25">
      <c r="A314" t="s">
        <v>10</v>
      </c>
      <c r="B314" t="s">
        <v>18</v>
      </c>
      <c r="C314" t="s">
        <v>40</v>
      </c>
      <c r="D314" t="s">
        <v>47</v>
      </c>
      <c r="E314">
        <v>1757</v>
      </c>
      <c r="F314">
        <v>10</v>
      </c>
      <c r="G314">
        <v>20</v>
      </c>
      <c r="H314">
        <v>35140</v>
      </c>
      <c r="I314">
        <v>2108.4</v>
      </c>
      <c r="J314">
        <v>33031.599999999999</v>
      </c>
      <c r="K314">
        <v>17570</v>
      </c>
      <c r="L314">
        <v>15461.599999999999</v>
      </c>
      <c r="M314" s="4">
        <v>41548</v>
      </c>
      <c r="N314">
        <v>10</v>
      </c>
      <c r="O314" t="s">
        <v>30</v>
      </c>
      <c r="P314" t="s">
        <v>14</v>
      </c>
      <c r="Q314" s="9">
        <f t="shared" si="12"/>
        <v>0.46808510638297868</v>
      </c>
      <c r="R314" s="9">
        <f t="shared" si="13"/>
        <v>0.53191489361702127</v>
      </c>
      <c r="V314" t="str">
        <f t="shared" si="14"/>
        <v>Good Performance</v>
      </c>
    </row>
    <row r="315" spans="1:22" x14ac:dyDescent="0.25">
      <c r="A315" t="s">
        <v>10</v>
      </c>
      <c r="B315" t="s">
        <v>19</v>
      </c>
      <c r="C315" t="s">
        <v>41</v>
      </c>
      <c r="D315" t="s">
        <v>47</v>
      </c>
      <c r="E315">
        <v>1001</v>
      </c>
      <c r="F315">
        <v>120</v>
      </c>
      <c r="G315">
        <v>20</v>
      </c>
      <c r="H315">
        <v>20020</v>
      </c>
      <c r="I315">
        <v>1201.2</v>
      </c>
      <c r="J315">
        <v>18818.8</v>
      </c>
      <c r="K315">
        <v>10010</v>
      </c>
      <c r="L315">
        <v>8808.7999999999993</v>
      </c>
      <c r="M315" s="4">
        <v>41852</v>
      </c>
      <c r="N315">
        <v>8</v>
      </c>
      <c r="O315" t="s">
        <v>28</v>
      </c>
      <c r="P315" t="s">
        <v>15</v>
      </c>
      <c r="Q315" s="9">
        <f t="shared" si="12"/>
        <v>0.46808510638297868</v>
      </c>
      <c r="R315" s="9">
        <f t="shared" si="13"/>
        <v>0.53191489361702127</v>
      </c>
      <c r="V315" t="str">
        <f t="shared" si="14"/>
        <v>Good Performance</v>
      </c>
    </row>
    <row r="316" spans="1:22" x14ac:dyDescent="0.25">
      <c r="A316" t="s">
        <v>10</v>
      </c>
      <c r="B316" t="s">
        <v>20</v>
      </c>
      <c r="C316" t="s">
        <v>41</v>
      </c>
      <c r="D316" t="s">
        <v>47</v>
      </c>
      <c r="E316">
        <v>1333</v>
      </c>
      <c r="F316">
        <v>120</v>
      </c>
      <c r="G316">
        <v>7</v>
      </c>
      <c r="H316">
        <v>9331</v>
      </c>
      <c r="I316">
        <v>559.86</v>
      </c>
      <c r="J316">
        <v>8771.14</v>
      </c>
      <c r="K316">
        <v>6665</v>
      </c>
      <c r="L316">
        <v>2106.1399999999994</v>
      </c>
      <c r="M316" s="4">
        <v>41944</v>
      </c>
      <c r="N316">
        <v>11</v>
      </c>
      <c r="O316" t="s">
        <v>31</v>
      </c>
      <c r="P316" t="s">
        <v>15</v>
      </c>
      <c r="Q316" s="9">
        <f t="shared" si="12"/>
        <v>0.24012158054711241</v>
      </c>
      <c r="R316" s="9">
        <f t="shared" si="13"/>
        <v>0.75987841945288759</v>
      </c>
      <c r="V316" t="str">
        <f t="shared" si="14"/>
        <v>Good Performance</v>
      </c>
    </row>
    <row r="317" spans="1:22" x14ac:dyDescent="0.25">
      <c r="A317" t="s">
        <v>8</v>
      </c>
      <c r="B317" t="s">
        <v>17</v>
      </c>
      <c r="C317" t="s">
        <v>42</v>
      </c>
      <c r="D317" t="s">
        <v>47</v>
      </c>
      <c r="E317">
        <v>1153</v>
      </c>
      <c r="F317">
        <v>250</v>
      </c>
      <c r="G317">
        <v>15</v>
      </c>
      <c r="H317">
        <v>17295</v>
      </c>
      <c r="I317">
        <v>1037.7</v>
      </c>
      <c r="J317">
        <v>16257.3</v>
      </c>
      <c r="K317">
        <v>11530</v>
      </c>
      <c r="L317">
        <v>4727.2999999999993</v>
      </c>
      <c r="M317" s="4">
        <v>41913</v>
      </c>
      <c r="N317">
        <v>10</v>
      </c>
      <c r="O317" t="s">
        <v>30</v>
      </c>
      <c r="P317" t="s">
        <v>15</v>
      </c>
      <c r="Q317" s="9">
        <f t="shared" si="12"/>
        <v>0.29078014184397161</v>
      </c>
      <c r="R317" s="9">
        <f t="shared" si="13"/>
        <v>0.70921985815602839</v>
      </c>
      <c r="V317" t="str">
        <f t="shared" si="14"/>
        <v>Good Performance</v>
      </c>
    </row>
    <row r="318" spans="1:22" x14ac:dyDescent="0.25">
      <c r="A318" t="s">
        <v>11</v>
      </c>
      <c r="B318" t="s">
        <v>20</v>
      </c>
      <c r="C318" t="s">
        <v>38</v>
      </c>
      <c r="D318" t="s">
        <v>47</v>
      </c>
      <c r="E318">
        <v>727</v>
      </c>
      <c r="F318">
        <v>3</v>
      </c>
      <c r="G318">
        <v>12</v>
      </c>
      <c r="H318">
        <v>8724</v>
      </c>
      <c r="I318">
        <v>610.67999999999995</v>
      </c>
      <c r="J318">
        <v>8113.32</v>
      </c>
      <c r="K318">
        <v>2181</v>
      </c>
      <c r="L318">
        <v>5932.32</v>
      </c>
      <c r="M318" s="4">
        <v>41671</v>
      </c>
      <c r="N318">
        <v>2</v>
      </c>
      <c r="O318" t="s">
        <v>22</v>
      </c>
      <c r="P318" t="s">
        <v>15</v>
      </c>
      <c r="Q318" s="9">
        <f t="shared" si="12"/>
        <v>0.73118279569892475</v>
      </c>
      <c r="R318" s="9">
        <f t="shared" si="13"/>
        <v>0.26881720430107525</v>
      </c>
      <c r="V318" t="str">
        <f t="shared" si="14"/>
        <v>Good Performance</v>
      </c>
    </row>
    <row r="319" spans="1:22" x14ac:dyDescent="0.25">
      <c r="A319" t="s">
        <v>11</v>
      </c>
      <c r="B319" t="s">
        <v>16</v>
      </c>
      <c r="C319" t="s">
        <v>38</v>
      </c>
      <c r="D319" t="s">
        <v>47</v>
      </c>
      <c r="E319">
        <v>1884</v>
      </c>
      <c r="F319">
        <v>3</v>
      </c>
      <c r="G319">
        <v>12</v>
      </c>
      <c r="H319">
        <v>22608</v>
      </c>
      <c r="I319">
        <v>1582.56</v>
      </c>
      <c r="J319">
        <v>21025.439999999999</v>
      </c>
      <c r="K319">
        <v>5652</v>
      </c>
      <c r="L319">
        <v>15373.439999999999</v>
      </c>
      <c r="M319" s="4">
        <v>41852</v>
      </c>
      <c r="N319">
        <v>8</v>
      </c>
      <c r="O319" t="s">
        <v>28</v>
      </c>
      <c r="P319" t="s">
        <v>15</v>
      </c>
      <c r="Q319" s="9">
        <f t="shared" si="12"/>
        <v>0.73118279569892475</v>
      </c>
      <c r="R319" s="9">
        <f t="shared" si="13"/>
        <v>0.26881720430107531</v>
      </c>
      <c r="V319" t="str">
        <f t="shared" si="14"/>
        <v>Good Performance</v>
      </c>
    </row>
    <row r="320" spans="1:22" x14ac:dyDescent="0.25">
      <c r="A320" t="s">
        <v>10</v>
      </c>
      <c r="B320" t="s">
        <v>20</v>
      </c>
      <c r="C320" t="s">
        <v>38</v>
      </c>
      <c r="D320" t="s">
        <v>47</v>
      </c>
      <c r="E320">
        <v>1834</v>
      </c>
      <c r="F320">
        <v>3</v>
      </c>
      <c r="G320">
        <v>20</v>
      </c>
      <c r="H320">
        <v>36680</v>
      </c>
      <c r="I320">
        <v>2567.6</v>
      </c>
      <c r="J320">
        <v>34112.400000000001</v>
      </c>
      <c r="K320">
        <v>18340</v>
      </c>
      <c r="L320">
        <v>15772.400000000001</v>
      </c>
      <c r="M320" s="4">
        <v>41518</v>
      </c>
      <c r="N320">
        <v>9</v>
      </c>
      <c r="O320" t="s">
        <v>29</v>
      </c>
      <c r="P320" t="s">
        <v>14</v>
      </c>
      <c r="Q320" s="9">
        <f t="shared" si="12"/>
        <v>0.4623655913978495</v>
      </c>
      <c r="R320" s="9">
        <f t="shared" si="13"/>
        <v>0.5376344086021505</v>
      </c>
      <c r="V320" t="str">
        <f t="shared" si="14"/>
        <v>Good Performance</v>
      </c>
    </row>
    <row r="321" spans="1:22" x14ac:dyDescent="0.25">
      <c r="A321" t="s">
        <v>11</v>
      </c>
      <c r="B321" t="s">
        <v>20</v>
      </c>
      <c r="C321" t="s">
        <v>39</v>
      </c>
      <c r="D321" t="s">
        <v>47</v>
      </c>
      <c r="E321">
        <v>2340</v>
      </c>
      <c r="F321">
        <v>5</v>
      </c>
      <c r="G321">
        <v>12</v>
      </c>
      <c r="H321">
        <v>28080</v>
      </c>
      <c r="I321">
        <v>1965.6</v>
      </c>
      <c r="J321">
        <v>26114.400000000001</v>
      </c>
      <c r="K321">
        <v>7020</v>
      </c>
      <c r="L321">
        <v>19094.400000000001</v>
      </c>
      <c r="M321" s="4">
        <v>41640</v>
      </c>
      <c r="N321">
        <v>1</v>
      </c>
      <c r="O321" t="s">
        <v>21</v>
      </c>
      <c r="P321" t="s">
        <v>15</v>
      </c>
      <c r="Q321" s="9">
        <f t="shared" si="12"/>
        <v>0.73118279569892475</v>
      </c>
      <c r="R321" s="9">
        <f t="shared" si="13"/>
        <v>0.26881720430107525</v>
      </c>
      <c r="V321" t="str">
        <f t="shared" si="14"/>
        <v>Good Performance</v>
      </c>
    </row>
    <row r="322" spans="1:22" x14ac:dyDescent="0.25">
      <c r="A322" t="s">
        <v>11</v>
      </c>
      <c r="B322" t="s">
        <v>18</v>
      </c>
      <c r="C322" t="s">
        <v>39</v>
      </c>
      <c r="D322" t="s">
        <v>47</v>
      </c>
      <c r="E322">
        <v>2342</v>
      </c>
      <c r="F322">
        <v>5</v>
      </c>
      <c r="G322">
        <v>12</v>
      </c>
      <c r="H322">
        <v>28104</v>
      </c>
      <c r="I322">
        <v>1967.28</v>
      </c>
      <c r="J322">
        <v>26136.720000000001</v>
      </c>
      <c r="K322">
        <v>7026</v>
      </c>
      <c r="L322">
        <v>19110.72</v>
      </c>
      <c r="M322" s="4">
        <v>41944</v>
      </c>
      <c r="N322">
        <v>11</v>
      </c>
      <c r="O322" t="s">
        <v>31</v>
      </c>
      <c r="P322" t="s">
        <v>15</v>
      </c>
      <c r="Q322" s="9">
        <f t="shared" si="12"/>
        <v>0.73118279569892475</v>
      </c>
      <c r="R322" s="9">
        <f t="shared" si="13"/>
        <v>0.26881720430107525</v>
      </c>
      <c r="V322" t="str">
        <f t="shared" si="14"/>
        <v>Good Performance</v>
      </c>
    </row>
    <row r="323" spans="1:22" x14ac:dyDescent="0.25">
      <c r="A323" t="s">
        <v>10</v>
      </c>
      <c r="B323" t="s">
        <v>18</v>
      </c>
      <c r="C323" t="s">
        <v>40</v>
      </c>
      <c r="D323" t="s">
        <v>47</v>
      </c>
      <c r="E323">
        <v>1031</v>
      </c>
      <c r="F323">
        <v>10</v>
      </c>
      <c r="G323">
        <v>7</v>
      </c>
      <c r="H323">
        <v>7217</v>
      </c>
      <c r="I323">
        <v>505.19</v>
      </c>
      <c r="J323">
        <v>6711.81</v>
      </c>
      <c r="K323">
        <v>5155</v>
      </c>
      <c r="L323">
        <v>1556.8100000000004</v>
      </c>
      <c r="M323" s="4">
        <v>41518</v>
      </c>
      <c r="N323">
        <v>9</v>
      </c>
      <c r="O323" t="s">
        <v>29</v>
      </c>
      <c r="P323" t="s">
        <v>14</v>
      </c>
      <c r="Q323" s="9">
        <f t="shared" ref="Q323:Q386" si="15">L323/J323</f>
        <v>0.23195084485407072</v>
      </c>
      <c r="R323" s="9">
        <f t="shared" ref="R323:R386" si="16">K323/J323</f>
        <v>0.76804915514592931</v>
      </c>
      <c r="V323" t="str">
        <f t="shared" ref="V323:V386" si="17">IF(Q323&lt;0.1, "Under Review", "Good Performance")</f>
        <v>Good Performance</v>
      </c>
    </row>
    <row r="324" spans="1:22" x14ac:dyDescent="0.25">
      <c r="A324" t="s">
        <v>8</v>
      </c>
      <c r="B324" t="s">
        <v>16</v>
      </c>
      <c r="C324" t="s">
        <v>41</v>
      </c>
      <c r="D324" t="s">
        <v>47</v>
      </c>
      <c r="E324">
        <v>1262</v>
      </c>
      <c r="F324">
        <v>120</v>
      </c>
      <c r="G324">
        <v>15</v>
      </c>
      <c r="H324">
        <v>18930</v>
      </c>
      <c r="I324">
        <v>1325.1</v>
      </c>
      <c r="J324">
        <v>17604.900000000001</v>
      </c>
      <c r="K324">
        <v>12620</v>
      </c>
      <c r="L324">
        <v>4984.9000000000015</v>
      </c>
      <c r="M324" s="4">
        <v>41760</v>
      </c>
      <c r="N324">
        <v>5</v>
      </c>
      <c r="O324" t="s">
        <v>25</v>
      </c>
      <c r="P324" t="s">
        <v>15</v>
      </c>
      <c r="Q324" s="9">
        <f t="shared" si="15"/>
        <v>0.28315412186379935</v>
      </c>
      <c r="R324" s="9">
        <f t="shared" si="16"/>
        <v>0.71684587813620071</v>
      </c>
      <c r="V324" t="str">
        <f t="shared" si="17"/>
        <v>Good Performance</v>
      </c>
    </row>
    <row r="325" spans="1:22" x14ac:dyDescent="0.25">
      <c r="A325" t="s">
        <v>10</v>
      </c>
      <c r="B325" t="s">
        <v>16</v>
      </c>
      <c r="C325" t="s">
        <v>41</v>
      </c>
      <c r="D325" t="s">
        <v>47</v>
      </c>
      <c r="E325">
        <v>1135</v>
      </c>
      <c r="F325">
        <v>120</v>
      </c>
      <c r="G325">
        <v>7</v>
      </c>
      <c r="H325">
        <v>7945</v>
      </c>
      <c r="I325">
        <v>556.15</v>
      </c>
      <c r="J325">
        <v>7388.85</v>
      </c>
      <c r="K325">
        <v>5675</v>
      </c>
      <c r="L325">
        <v>1713.8500000000004</v>
      </c>
      <c r="M325" s="4">
        <v>41791</v>
      </c>
      <c r="N325">
        <v>6</v>
      </c>
      <c r="O325" t="s">
        <v>26</v>
      </c>
      <c r="P325" t="s">
        <v>15</v>
      </c>
      <c r="Q325" s="9">
        <f t="shared" si="15"/>
        <v>0.23195084485407069</v>
      </c>
      <c r="R325" s="9">
        <f t="shared" si="16"/>
        <v>0.76804915514592931</v>
      </c>
      <c r="V325" t="str">
        <f t="shared" si="17"/>
        <v>Good Performance</v>
      </c>
    </row>
    <row r="326" spans="1:22" x14ac:dyDescent="0.25">
      <c r="A326" t="s">
        <v>10</v>
      </c>
      <c r="B326" t="s">
        <v>17</v>
      </c>
      <c r="C326" t="s">
        <v>41</v>
      </c>
      <c r="D326" t="s">
        <v>47</v>
      </c>
      <c r="E326">
        <v>547</v>
      </c>
      <c r="F326">
        <v>120</v>
      </c>
      <c r="G326">
        <v>7</v>
      </c>
      <c r="H326">
        <v>3829</v>
      </c>
      <c r="I326">
        <v>268.02999999999997</v>
      </c>
      <c r="J326">
        <v>3560.9700000000003</v>
      </c>
      <c r="K326">
        <v>2735</v>
      </c>
      <c r="L326">
        <v>825.97000000000025</v>
      </c>
      <c r="M326" s="4">
        <v>41944</v>
      </c>
      <c r="N326">
        <v>11</v>
      </c>
      <c r="O326" t="s">
        <v>31</v>
      </c>
      <c r="P326" t="s">
        <v>15</v>
      </c>
      <c r="Q326" s="9">
        <f t="shared" si="15"/>
        <v>0.23195084485407072</v>
      </c>
      <c r="R326" s="9">
        <f t="shared" si="16"/>
        <v>0.76804915514592931</v>
      </c>
      <c r="V326" t="str">
        <f t="shared" si="17"/>
        <v>Good Performance</v>
      </c>
    </row>
    <row r="327" spans="1:22" x14ac:dyDescent="0.25">
      <c r="A327" t="s">
        <v>10</v>
      </c>
      <c r="B327" t="s">
        <v>16</v>
      </c>
      <c r="C327" t="s">
        <v>41</v>
      </c>
      <c r="D327" t="s">
        <v>47</v>
      </c>
      <c r="E327">
        <v>1582</v>
      </c>
      <c r="F327">
        <v>120</v>
      </c>
      <c r="G327">
        <v>7</v>
      </c>
      <c r="H327">
        <v>11074</v>
      </c>
      <c r="I327">
        <v>775.18</v>
      </c>
      <c r="J327">
        <v>10298.82</v>
      </c>
      <c r="K327">
        <v>7910</v>
      </c>
      <c r="L327">
        <v>2388.8199999999997</v>
      </c>
      <c r="M327" s="4">
        <v>41974</v>
      </c>
      <c r="N327">
        <v>12</v>
      </c>
      <c r="O327" t="s">
        <v>32</v>
      </c>
      <c r="P327" t="s">
        <v>15</v>
      </c>
      <c r="Q327" s="9">
        <f t="shared" si="15"/>
        <v>0.23195084485407064</v>
      </c>
      <c r="R327" s="9">
        <f t="shared" si="16"/>
        <v>0.76804915514592931</v>
      </c>
      <c r="V327" t="str">
        <f t="shared" si="17"/>
        <v>Good Performance</v>
      </c>
    </row>
    <row r="328" spans="1:22" x14ac:dyDescent="0.25">
      <c r="A328" t="s">
        <v>11</v>
      </c>
      <c r="B328" t="s">
        <v>18</v>
      </c>
      <c r="C328" t="s">
        <v>42</v>
      </c>
      <c r="D328" t="s">
        <v>47</v>
      </c>
      <c r="E328">
        <v>1738.5</v>
      </c>
      <c r="F328">
        <v>250</v>
      </c>
      <c r="G328">
        <v>12</v>
      </c>
      <c r="H328">
        <v>20862</v>
      </c>
      <c r="I328">
        <v>1460.34</v>
      </c>
      <c r="J328">
        <v>19401.66</v>
      </c>
      <c r="K328">
        <v>5215.5</v>
      </c>
      <c r="L328">
        <v>14186.16</v>
      </c>
      <c r="M328" s="4">
        <v>41730</v>
      </c>
      <c r="N328">
        <v>4</v>
      </c>
      <c r="O328" t="s">
        <v>24</v>
      </c>
      <c r="P328" t="s">
        <v>15</v>
      </c>
      <c r="Q328" s="9">
        <f t="shared" si="15"/>
        <v>0.73118279569892475</v>
      </c>
      <c r="R328" s="9">
        <f t="shared" si="16"/>
        <v>0.26881720430107525</v>
      </c>
      <c r="V328" t="str">
        <f t="shared" si="17"/>
        <v>Good Performance</v>
      </c>
    </row>
    <row r="329" spans="1:22" x14ac:dyDescent="0.25">
      <c r="A329" t="s">
        <v>11</v>
      </c>
      <c r="B329" t="s">
        <v>19</v>
      </c>
      <c r="C329" t="s">
        <v>42</v>
      </c>
      <c r="D329" t="s">
        <v>47</v>
      </c>
      <c r="E329">
        <v>2215</v>
      </c>
      <c r="F329">
        <v>250</v>
      </c>
      <c r="G329">
        <v>12</v>
      </c>
      <c r="H329">
        <v>26580</v>
      </c>
      <c r="I329">
        <v>1860.6</v>
      </c>
      <c r="J329">
        <v>24719.4</v>
      </c>
      <c r="K329">
        <v>6645</v>
      </c>
      <c r="L329">
        <v>18074.400000000001</v>
      </c>
      <c r="M329" s="4">
        <v>41518</v>
      </c>
      <c r="N329">
        <v>9</v>
      </c>
      <c r="O329" t="s">
        <v>29</v>
      </c>
      <c r="P329" t="s">
        <v>14</v>
      </c>
      <c r="Q329" s="9">
        <f t="shared" si="15"/>
        <v>0.73118279569892475</v>
      </c>
      <c r="R329" s="9">
        <f t="shared" si="16"/>
        <v>0.26881720430107525</v>
      </c>
      <c r="V329" t="str">
        <f t="shared" si="17"/>
        <v>Good Performance</v>
      </c>
    </row>
    <row r="330" spans="1:22" x14ac:dyDescent="0.25">
      <c r="A330" t="s">
        <v>10</v>
      </c>
      <c r="B330" t="s">
        <v>16</v>
      </c>
      <c r="C330" t="s">
        <v>42</v>
      </c>
      <c r="D330" t="s">
        <v>47</v>
      </c>
      <c r="E330">
        <v>1582</v>
      </c>
      <c r="F330">
        <v>250</v>
      </c>
      <c r="G330">
        <v>7</v>
      </c>
      <c r="H330">
        <v>11074</v>
      </c>
      <c r="I330">
        <v>775.18</v>
      </c>
      <c r="J330">
        <v>10298.82</v>
      </c>
      <c r="K330">
        <v>7910</v>
      </c>
      <c r="L330">
        <v>2388.8199999999997</v>
      </c>
      <c r="M330" s="4">
        <v>41974</v>
      </c>
      <c r="N330">
        <v>12</v>
      </c>
      <c r="O330" t="s">
        <v>32</v>
      </c>
      <c r="P330" t="s">
        <v>15</v>
      </c>
      <c r="Q330" s="9">
        <f t="shared" si="15"/>
        <v>0.23195084485407064</v>
      </c>
      <c r="R330" s="9">
        <f t="shared" si="16"/>
        <v>0.76804915514592931</v>
      </c>
      <c r="V330" t="str">
        <f t="shared" si="17"/>
        <v>Good Performance</v>
      </c>
    </row>
    <row r="331" spans="1:22" x14ac:dyDescent="0.25">
      <c r="A331" t="s">
        <v>10</v>
      </c>
      <c r="B331" t="s">
        <v>16</v>
      </c>
      <c r="C331" t="s">
        <v>43</v>
      </c>
      <c r="D331" t="s">
        <v>47</v>
      </c>
      <c r="E331">
        <v>1135</v>
      </c>
      <c r="F331">
        <v>260</v>
      </c>
      <c r="G331">
        <v>7</v>
      </c>
      <c r="H331">
        <v>7945</v>
      </c>
      <c r="I331">
        <v>556.15</v>
      </c>
      <c r="J331">
        <v>7388.85</v>
      </c>
      <c r="K331">
        <v>5675</v>
      </c>
      <c r="L331">
        <v>1713.8500000000004</v>
      </c>
      <c r="M331" s="4">
        <v>41791</v>
      </c>
      <c r="N331">
        <v>6</v>
      </c>
      <c r="O331" t="s">
        <v>26</v>
      </c>
      <c r="P331" t="s">
        <v>15</v>
      </c>
      <c r="Q331" s="9">
        <f t="shared" si="15"/>
        <v>0.23195084485407069</v>
      </c>
      <c r="R331" s="9">
        <f t="shared" si="16"/>
        <v>0.76804915514592931</v>
      </c>
      <c r="V331" t="str">
        <f t="shared" si="17"/>
        <v>Good Performance</v>
      </c>
    </row>
    <row r="332" spans="1:22" x14ac:dyDescent="0.25">
      <c r="A332" t="s">
        <v>10</v>
      </c>
      <c r="B332" t="s">
        <v>17</v>
      </c>
      <c r="C332" t="s">
        <v>38</v>
      </c>
      <c r="D332" t="s">
        <v>47</v>
      </c>
      <c r="E332">
        <v>1761</v>
      </c>
      <c r="F332">
        <v>3</v>
      </c>
      <c r="G332">
        <v>350</v>
      </c>
      <c r="H332">
        <v>616350</v>
      </c>
      <c r="I332">
        <v>43144.5</v>
      </c>
      <c r="J332">
        <v>573205.5</v>
      </c>
      <c r="K332">
        <v>457860</v>
      </c>
      <c r="L332">
        <v>115345.5</v>
      </c>
      <c r="M332" s="4">
        <v>41699</v>
      </c>
      <c r="N332">
        <v>3</v>
      </c>
      <c r="O332" t="s">
        <v>23</v>
      </c>
      <c r="P332" t="s">
        <v>15</v>
      </c>
      <c r="Q332" s="9">
        <f t="shared" si="15"/>
        <v>0.20122887864823349</v>
      </c>
      <c r="R332" s="9">
        <f t="shared" si="16"/>
        <v>0.79877112135176653</v>
      </c>
      <c r="V332" t="str">
        <f t="shared" si="17"/>
        <v>Good Performance</v>
      </c>
    </row>
    <row r="333" spans="1:22" x14ac:dyDescent="0.25">
      <c r="A333" t="s">
        <v>7</v>
      </c>
      <c r="B333" t="s">
        <v>18</v>
      </c>
      <c r="C333" t="s">
        <v>38</v>
      </c>
      <c r="D333" t="s">
        <v>47</v>
      </c>
      <c r="E333">
        <v>448</v>
      </c>
      <c r="F333">
        <v>3</v>
      </c>
      <c r="G333">
        <v>300</v>
      </c>
      <c r="H333">
        <v>134400</v>
      </c>
      <c r="I333">
        <v>9408</v>
      </c>
      <c r="J333">
        <v>124992</v>
      </c>
      <c r="K333">
        <v>112000</v>
      </c>
      <c r="L333">
        <v>12992</v>
      </c>
      <c r="M333" s="4">
        <v>41791</v>
      </c>
      <c r="N333">
        <v>6</v>
      </c>
      <c r="O333" t="s">
        <v>26</v>
      </c>
      <c r="P333" t="s">
        <v>15</v>
      </c>
      <c r="Q333" s="9">
        <f t="shared" si="15"/>
        <v>0.1039426523297491</v>
      </c>
      <c r="R333" s="9">
        <f t="shared" si="16"/>
        <v>0.89605734767025091</v>
      </c>
      <c r="V333" t="str">
        <f t="shared" si="17"/>
        <v>Good Performance</v>
      </c>
    </row>
    <row r="334" spans="1:22" x14ac:dyDescent="0.25">
      <c r="A334" t="s">
        <v>7</v>
      </c>
      <c r="B334" t="s">
        <v>18</v>
      </c>
      <c r="C334" t="s">
        <v>38</v>
      </c>
      <c r="D334" t="s">
        <v>47</v>
      </c>
      <c r="E334">
        <v>2181</v>
      </c>
      <c r="F334">
        <v>3</v>
      </c>
      <c r="G334">
        <v>300</v>
      </c>
      <c r="H334">
        <v>654300</v>
      </c>
      <c r="I334">
        <v>45801</v>
      </c>
      <c r="J334">
        <v>608499</v>
      </c>
      <c r="K334">
        <v>545250</v>
      </c>
      <c r="L334">
        <v>63249</v>
      </c>
      <c r="M334" s="4">
        <v>41913</v>
      </c>
      <c r="N334">
        <v>10</v>
      </c>
      <c r="O334" t="s">
        <v>30</v>
      </c>
      <c r="P334" t="s">
        <v>15</v>
      </c>
      <c r="Q334" s="9">
        <f t="shared" si="15"/>
        <v>0.1039426523297491</v>
      </c>
      <c r="R334" s="9">
        <f t="shared" si="16"/>
        <v>0.89605734767025091</v>
      </c>
      <c r="V334" t="str">
        <f t="shared" si="17"/>
        <v>Good Performance</v>
      </c>
    </row>
    <row r="335" spans="1:22" x14ac:dyDescent="0.25">
      <c r="A335" t="s">
        <v>10</v>
      </c>
      <c r="B335" t="s">
        <v>18</v>
      </c>
      <c r="C335" t="s">
        <v>39</v>
      </c>
      <c r="D335" t="s">
        <v>47</v>
      </c>
      <c r="E335">
        <v>1976</v>
      </c>
      <c r="F335">
        <v>5</v>
      </c>
      <c r="G335">
        <v>20</v>
      </c>
      <c r="H335">
        <v>39520</v>
      </c>
      <c r="I335">
        <v>2766.4</v>
      </c>
      <c r="J335">
        <v>36753.599999999999</v>
      </c>
      <c r="K335">
        <v>19760</v>
      </c>
      <c r="L335">
        <v>16993.599999999999</v>
      </c>
      <c r="M335" s="4">
        <v>41913</v>
      </c>
      <c r="N335">
        <v>10</v>
      </c>
      <c r="O335" t="s">
        <v>30</v>
      </c>
      <c r="P335" t="s">
        <v>15</v>
      </c>
      <c r="Q335" s="9">
        <f t="shared" si="15"/>
        <v>0.46236559139784944</v>
      </c>
      <c r="R335" s="9">
        <f t="shared" si="16"/>
        <v>0.5376344086021505</v>
      </c>
      <c r="V335" t="str">
        <f t="shared" si="17"/>
        <v>Good Performance</v>
      </c>
    </row>
    <row r="336" spans="1:22" x14ac:dyDescent="0.25">
      <c r="A336" t="s">
        <v>7</v>
      </c>
      <c r="B336" t="s">
        <v>18</v>
      </c>
      <c r="C336" t="s">
        <v>39</v>
      </c>
      <c r="D336" t="s">
        <v>47</v>
      </c>
      <c r="E336">
        <v>2181</v>
      </c>
      <c r="F336">
        <v>5</v>
      </c>
      <c r="G336">
        <v>300</v>
      </c>
      <c r="H336">
        <v>654300</v>
      </c>
      <c r="I336">
        <v>45801</v>
      </c>
      <c r="J336">
        <v>608499</v>
      </c>
      <c r="K336">
        <v>545250</v>
      </c>
      <c r="L336">
        <v>63249</v>
      </c>
      <c r="M336" s="4">
        <v>41913</v>
      </c>
      <c r="N336">
        <v>10</v>
      </c>
      <c r="O336" t="s">
        <v>30</v>
      </c>
      <c r="P336" t="s">
        <v>15</v>
      </c>
      <c r="Q336" s="9">
        <f t="shared" si="15"/>
        <v>0.1039426523297491</v>
      </c>
      <c r="R336" s="9">
        <f t="shared" si="16"/>
        <v>0.89605734767025091</v>
      </c>
      <c r="V336" t="str">
        <f t="shared" si="17"/>
        <v>Good Performance</v>
      </c>
    </row>
    <row r="337" spans="1:22" x14ac:dyDescent="0.25">
      <c r="A337" t="s">
        <v>9</v>
      </c>
      <c r="B337" t="s">
        <v>19</v>
      </c>
      <c r="C337" t="s">
        <v>39</v>
      </c>
      <c r="D337" t="s">
        <v>47</v>
      </c>
      <c r="E337">
        <v>2500</v>
      </c>
      <c r="F337">
        <v>5</v>
      </c>
      <c r="G337">
        <v>125</v>
      </c>
      <c r="H337">
        <v>312500</v>
      </c>
      <c r="I337">
        <v>21875</v>
      </c>
      <c r="J337">
        <v>290625</v>
      </c>
      <c r="K337">
        <v>300000</v>
      </c>
      <c r="L337">
        <v>-9375</v>
      </c>
      <c r="M337" s="4">
        <v>41579</v>
      </c>
      <c r="N337">
        <v>11</v>
      </c>
      <c r="O337" t="s">
        <v>31</v>
      </c>
      <c r="P337" t="s">
        <v>14</v>
      </c>
      <c r="Q337" s="9">
        <f t="shared" si="15"/>
        <v>-3.2258064516129031E-2</v>
      </c>
      <c r="R337" s="9">
        <f t="shared" si="16"/>
        <v>1.032258064516129</v>
      </c>
      <c r="V337" t="str">
        <f t="shared" si="17"/>
        <v>Under Review</v>
      </c>
    </row>
    <row r="338" spans="1:22" x14ac:dyDescent="0.25">
      <c r="A338" t="s">
        <v>7</v>
      </c>
      <c r="B338" t="s">
        <v>16</v>
      </c>
      <c r="C338" t="s">
        <v>40</v>
      </c>
      <c r="D338" t="s">
        <v>47</v>
      </c>
      <c r="E338">
        <v>1702</v>
      </c>
      <c r="F338">
        <v>10</v>
      </c>
      <c r="G338">
        <v>300</v>
      </c>
      <c r="H338">
        <v>510600</v>
      </c>
      <c r="I338">
        <v>35742</v>
      </c>
      <c r="J338">
        <v>474858</v>
      </c>
      <c r="K338">
        <v>425500</v>
      </c>
      <c r="L338">
        <v>49358</v>
      </c>
      <c r="M338" s="4">
        <v>41760</v>
      </c>
      <c r="N338">
        <v>5</v>
      </c>
      <c r="O338" t="s">
        <v>25</v>
      </c>
      <c r="P338" t="s">
        <v>15</v>
      </c>
      <c r="Q338" s="9">
        <f t="shared" si="15"/>
        <v>0.1039426523297491</v>
      </c>
      <c r="R338" s="9">
        <f t="shared" si="16"/>
        <v>0.89605734767025091</v>
      </c>
      <c r="V338" t="str">
        <f t="shared" si="17"/>
        <v>Good Performance</v>
      </c>
    </row>
    <row r="339" spans="1:22" x14ac:dyDescent="0.25">
      <c r="A339" t="s">
        <v>7</v>
      </c>
      <c r="B339" t="s">
        <v>18</v>
      </c>
      <c r="C339" t="s">
        <v>40</v>
      </c>
      <c r="D339" t="s">
        <v>47</v>
      </c>
      <c r="E339">
        <v>448</v>
      </c>
      <c r="F339">
        <v>10</v>
      </c>
      <c r="G339">
        <v>300</v>
      </c>
      <c r="H339">
        <v>134400</v>
      </c>
      <c r="I339">
        <v>9408</v>
      </c>
      <c r="J339">
        <v>124992</v>
      </c>
      <c r="K339">
        <v>112000</v>
      </c>
      <c r="L339">
        <v>12992</v>
      </c>
      <c r="M339" s="4">
        <v>41791</v>
      </c>
      <c r="N339">
        <v>6</v>
      </c>
      <c r="O339" t="s">
        <v>26</v>
      </c>
      <c r="P339" t="s">
        <v>15</v>
      </c>
      <c r="Q339" s="9">
        <f t="shared" si="15"/>
        <v>0.1039426523297491</v>
      </c>
      <c r="R339" s="9">
        <f t="shared" si="16"/>
        <v>0.89605734767025091</v>
      </c>
      <c r="V339" t="str">
        <f t="shared" si="17"/>
        <v>Good Performance</v>
      </c>
    </row>
    <row r="340" spans="1:22" x14ac:dyDescent="0.25">
      <c r="A340" t="s">
        <v>9</v>
      </c>
      <c r="B340" t="s">
        <v>19</v>
      </c>
      <c r="C340" t="s">
        <v>40</v>
      </c>
      <c r="D340" t="s">
        <v>47</v>
      </c>
      <c r="E340">
        <v>3513</v>
      </c>
      <c r="F340">
        <v>10</v>
      </c>
      <c r="G340">
        <v>125</v>
      </c>
      <c r="H340">
        <v>439125</v>
      </c>
      <c r="I340">
        <v>30738.75</v>
      </c>
      <c r="J340">
        <v>408386.25</v>
      </c>
      <c r="K340">
        <v>421560</v>
      </c>
      <c r="L340">
        <v>-13173.75</v>
      </c>
      <c r="M340" s="4">
        <v>41821</v>
      </c>
      <c r="N340">
        <v>7</v>
      </c>
      <c r="O340" t="s">
        <v>27</v>
      </c>
      <c r="P340" t="s">
        <v>15</v>
      </c>
      <c r="Q340" s="9">
        <f t="shared" si="15"/>
        <v>-3.2258064516129031E-2</v>
      </c>
      <c r="R340" s="9">
        <f t="shared" si="16"/>
        <v>1.032258064516129</v>
      </c>
      <c r="V340" t="str">
        <f t="shared" si="17"/>
        <v>Under Review</v>
      </c>
    </row>
    <row r="341" spans="1:22" x14ac:dyDescent="0.25">
      <c r="A341" t="s">
        <v>8</v>
      </c>
      <c r="B341" t="s">
        <v>18</v>
      </c>
      <c r="C341" t="s">
        <v>40</v>
      </c>
      <c r="D341" t="s">
        <v>47</v>
      </c>
      <c r="E341">
        <v>2101</v>
      </c>
      <c r="F341">
        <v>10</v>
      </c>
      <c r="G341">
        <v>15</v>
      </c>
      <c r="H341">
        <v>31515</v>
      </c>
      <c r="I341">
        <v>2206.0500000000002</v>
      </c>
      <c r="J341">
        <v>29308.95</v>
      </c>
      <c r="K341">
        <v>21010</v>
      </c>
      <c r="L341">
        <v>8298.9500000000007</v>
      </c>
      <c r="M341" s="4">
        <v>41852</v>
      </c>
      <c r="N341">
        <v>8</v>
      </c>
      <c r="O341" t="s">
        <v>28</v>
      </c>
      <c r="P341" t="s">
        <v>15</v>
      </c>
      <c r="Q341" s="9">
        <f t="shared" si="15"/>
        <v>0.28315412186379929</v>
      </c>
      <c r="R341" s="9">
        <f t="shared" si="16"/>
        <v>0.71684587813620071</v>
      </c>
      <c r="V341" t="str">
        <f t="shared" si="17"/>
        <v>Good Performance</v>
      </c>
    </row>
    <row r="342" spans="1:22" x14ac:dyDescent="0.25">
      <c r="A342" t="s">
        <v>8</v>
      </c>
      <c r="B342" t="s">
        <v>17</v>
      </c>
      <c r="C342" t="s">
        <v>40</v>
      </c>
      <c r="D342" t="s">
        <v>47</v>
      </c>
      <c r="E342">
        <v>2931</v>
      </c>
      <c r="F342">
        <v>10</v>
      </c>
      <c r="G342">
        <v>15</v>
      </c>
      <c r="H342">
        <v>43965</v>
      </c>
      <c r="I342">
        <v>3077.55</v>
      </c>
      <c r="J342">
        <v>40887.449999999997</v>
      </c>
      <c r="K342">
        <v>29310</v>
      </c>
      <c r="L342">
        <v>11577.449999999997</v>
      </c>
      <c r="M342" s="4">
        <v>41518</v>
      </c>
      <c r="N342">
        <v>9</v>
      </c>
      <c r="O342" t="s">
        <v>29</v>
      </c>
      <c r="P342" t="s">
        <v>14</v>
      </c>
      <c r="Q342" s="9">
        <f t="shared" si="15"/>
        <v>0.28315412186379924</v>
      </c>
      <c r="R342" s="9">
        <f t="shared" si="16"/>
        <v>0.71684587813620082</v>
      </c>
      <c r="V342" t="str">
        <f t="shared" si="17"/>
        <v>Good Performance</v>
      </c>
    </row>
    <row r="343" spans="1:22" x14ac:dyDescent="0.25">
      <c r="A343" t="s">
        <v>10</v>
      </c>
      <c r="B343" t="s">
        <v>18</v>
      </c>
      <c r="C343" t="s">
        <v>40</v>
      </c>
      <c r="D343" t="s">
        <v>47</v>
      </c>
      <c r="E343">
        <v>1535</v>
      </c>
      <c r="F343">
        <v>10</v>
      </c>
      <c r="G343">
        <v>20</v>
      </c>
      <c r="H343">
        <v>30700</v>
      </c>
      <c r="I343">
        <v>2149</v>
      </c>
      <c r="J343">
        <v>28551</v>
      </c>
      <c r="K343">
        <v>15350</v>
      </c>
      <c r="L343">
        <v>13201</v>
      </c>
      <c r="M343" s="4">
        <v>41883</v>
      </c>
      <c r="N343">
        <v>9</v>
      </c>
      <c r="O343" t="s">
        <v>29</v>
      </c>
      <c r="P343" t="s">
        <v>15</v>
      </c>
      <c r="Q343" s="9">
        <f t="shared" si="15"/>
        <v>0.46236559139784944</v>
      </c>
      <c r="R343" s="9">
        <f t="shared" si="16"/>
        <v>0.5376344086021505</v>
      </c>
      <c r="V343" t="str">
        <f t="shared" si="17"/>
        <v>Good Performance</v>
      </c>
    </row>
    <row r="344" spans="1:22" x14ac:dyDescent="0.25">
      <c r="A344" t="s">
        <v>7</v>
      </c>
      <c r="B344" t="s">
        <v>19</v>
      </c>
      <c r="C344" t="s">
        <v>40</v>
      </c>
      <c r="D344" t="s">
        <v>47</v>
      </c>
      <c r="E344">
        <v>1123</v>
      </c>
      <c r="F344">
        <v>10</v>
      </c>
      <c r="G344">
        <v>300</v>
      </c>
      <c r="H344">
        <v>336900</v>
      </c>
      <c r="I344">
        <v>23583</v>
      </c>
      <c r="J344">
        <v>313317</v>
      </c>
      <c r="K344">
        <v>280750</v>
      </c>
      <c r="L344">
        <v>32567</v>
      </c>
      <c r="M344" s="4">
        <v>41518</v>
      </c>
      <c r="N344">
        <v>9</v>
      </c>
      <c r="O344" t="s">
        <v>29</v>
      </c>
      <c r="P344" t="s">
        <v>14</v>
      </c>
      <c r="Q344" s="9">
        <f t="shared" si="15"/>
        <v>0.1039426523297491</v>
      </c>
      <c r="R344" s="9">
        <f t="shared" si="16"/>
        <v>0.89605734767025091</v>
      </c>
      <c r="V344" t="str">
        <f t="shared" si="17"/>
        <v>Good Performance</v>
      </c>
    </row>
    <row r="345" spans="1:22" x14ac:dyDescent="0.25">
      <c r="A345" t="s">
        <v>7</v>
      </c>
      <c r="B345" t="s">
        <v>16</v>
      </c>
      <c r="C345" t="s">
        <v>40</v>
      </c>
      <c r="D345" t="s">
        <v>47</v>
      </c>
      <c r="E345">
        <v>1404</v>
      </c>
      <c r="F345">
        <v>10</v>
      </c>
      <c r="G345">
        <v>300</v>
      </c>
      <c r="H345">
        <v>421200</v>
      </c>
      <c r="I345">
        <v>29484</v>
      </c>
      <c r="J345">
        <v>391716</v>
      </c>
      <c r="K345">
        <v>351000</v>
      </c>
      <c r="L345">
        <v>40716</v>
      </c>
      <c r="M345" s="4">
        <v>41579</v>
      </c>
      <c r="N345">
        <v>11</v>
      </c>
      <c r="O345" t="s">
        <v>31</v>
      </c>
      <c r="P345" t="s">
        <v>14</v>
      </c>
      <c r="Q345" s="9">
        <f t="shared" si="15"/>
        <v>0.1039426523297491</v>
      </c>
      <c r="R345" s="9">
        <f t="shared" si="16"/>
        <v>0.89605734767025091</v>
      </c>
      <c r="V345" t="str">
        <f t="shared" si="17"/>
        <v>Good Performance</v>
      </c>
    </row>
    <row r="346" spans="1:22" x14ac:dyDescent="0.25">
      <c r="A346" t="s">
        <v>11</v>
      </c>
      <c r="B346" t="s">
        <v>20</v>
      </c>
      <c r="C346" t="s">
        <v>40</v>
      </c>
      <c r="D346" t="s">
        <v>47</v>
      </c>
      <c r="E346">
        <v>2763</v>
      </c>
      <c r="F346">
        <v>10</v>
      </c>
      <c r="G346">
        <v>12</v>
      </c>
      <c r="H346">
        <v>33156</v>
      </c>
      <c r="I346">
        <v>2320.92</v>
      </c>
      <c r="J346">
        <v>30835.08</v>
      </c>
      <c r="K346">
        <v>8289</v>
      </c>
      <c r="L346">
        <v>22546.080000000002</v>
      </c>
      <c r="M346" s="4">
        <v>41579</v>
      </c>
      <c r="N346">
        <v>11</v>
      </c>
      <c r="O346" t="s">
        <v>31</v>
      </c>
      <c r="P346" t="s">
        <v>14</v>
      </c>
      <c r="Q346" s="9">
        <f t="shared" si="15"/>
        <v>0.73118279569892475</v>
      </c>
      <c r="R346" s="9">
        <f t="shared" si="16"/>
        <v>0.26881720430107525</v>
      </c>
      <c r="V346" t="str">
        <f t="shared" si="17"/>
        <v>Good Performance</v>
      </c>
    </row>
    <row r="347" spans="1:22" x14ac:dyDescent="0.25">
      <c r="A347" t="s">
        <v>10</v>
      </c>
      <c r="B347" t="s">
        <v>19</v>
      </c>
      <c r="C347" t="s">
        <v>40</v>
      </c>
      <c r="D347" t="s">
        <v>47</v>
      </c>
      <c r="E347">
        <v>2125</v>
      </c>
      <c r="F347">
        <v>10</v>
      </c>
      <c r="G347">
        <v>7</v>
      </c>
      <c r="H347">
        <v>14875</v>
      </c>
      <c r="I347">
        <v>1041.25</v>
      </c>
      <c r="J347">
        <v>13833.75</v>
      </c>
      <c r="K347">
        <v>10625</v>
      </c>
      <c r="L347">
        <v>3208.75</v>
      </c>
      <c r="M347" s="4">
        <v>41609</v>
      </c>
      <c r="N347">
        <v>12</v>
      </c>
      <c r="O347" t="s">
        <v>32</v>
      </c>
      <c r="P347" t="s">
        <v>14</v>
      </c>
      <c r="Q347" s="9">
        <f t="shared" si="15"/>
        <v>0.23195084485407066</v>
      </c>
      <c r="R347" s="9">
        <f t="shared" si="16"/>
        <v>0.76804915514592931</v>
      </c>
      <c r="V347" t="str">
        <f t="shared" si="17"/>
        <v>Good Performance</v>
      </c>
    </row>
    <row r="348" spans="1:22" x14ac:dyDescent="0.25">
      <c r="A348" t="s">
        <v>7</v>
      </c>
      <c r="B348" t="s">
        <v>18</v>
      </c>
      <c r="C348" t="s">
        <v>41</v>
      </c>
      <c r="D348" t="s">
        <v>47</v>
      </c>
      <c r="E348">
        <v>1659</v>
      </c>
      <c r="F348">
        <v>120</v>
      </c>
      <c r="G348">
        <v>300</v>
      </c>
      <c r="H348">
        <v>497700</v>
      </c>
      <c r="I348">
        <v>34839</v>
      </c>
      <c r="J348">
        <v>462861</v>
      </c>
      <c r="K348">
        <v>414750</v>
      </c>
      <c r="L348">
        <v>48111</v>
      </c>
      <c r="M348" s="4">
        <v>41821</v>
      </c>
      <c r="N348">
        <v>7</v>
      </c>
      <c r="O348" t="s">
        <v>27</v>
      </c>
      <c r="P348" t="s">
        <v>15</v>
      </c>
      <c r="Q348" s="9">
        <f t="shared" si="15"/>
        <v>0.1039426523297491</v>
      </c>
      <c r="R348" s="9">
        <f t="shared" si="16"/>
        <v>0.89605734767025091</v>
      </c>
      <c r="V348" t="str">
        <f t="shared" si="17"/>
        <v>Good Performance</v>
      </c>
    </row>
    <row r="349" spans="1:22" x14ac:dyDescent="0.25">
      <c r="A349" t="s">
        <v>10</v>
      </c>
      <c r="B349" t="s">
        <v>20</v>
      </c>
      <c r="C349" t="s">
        <v>41</v>
      </c>
      <c r="D349" t="s">
        <v>47</v>
      </c>
      <c r="E349">
        <v>609</v>
      </c>
      <c r="F349">
        <v>120</v>
      </c>
      <c r="G349">
        <v>20</v>
      </c>
      <c r="H349">
        <v>12180</v>
      </c>
      <c r="I349">
        <v>852.6</v>
      </c>
      <c r="J349">
        <v>11327.4</v>
      </c>
      <c r="K349">
        <v>6090</v>
      </c>
      <c r="L349">
        <v>5237.3999999999996</v>
      </c>
      <c r="M349" s="4">
        <v>41852</v>
      </c>
      <c r="N349">
        <v>8</v>
      </c>
      <c r="O349" t="s">
        <v>28</v>
      </c>
      <c r="P349" t="s">
        <v>15</v>
      </c>
      <c r="Q349" s="9">
        <f t="shared" si="15"/>
        <v>0.46236559139784944</v>
      </c>
      <c r="R349" s="9">
        <f t="shared" si="16"/>
        <v>0.5376344086021505</v>
      </c>
      <c r="V349" t="str">
        <f t="shared" si="17"/>
        <v>Good Performance</v>
      </c>
    </row>
    <row r="350" spans="1:22" x14ac:dyDescent="0.25">
      <c r="A350" t="s">
        <v>9</v>
      </c>
      <c r="B350" t="s">
        <v>19</v>
      </c>
      <c r="C350" t="s">
        <v>41</v>
      </c>
      <c r="D350" t="s">
        <v>47</v>
      </c>
      <c r="E350">
        <v>2087</v>
      </c>
      <c r="F350">
        <v>120</v>
      </c>
      <c r="G350">
        <v>125</v>
      </c>
      <c r="H350">
        <v>260875</v>
      </c>
      <c r="I350">
        <v>18261.25</v>
      </c>
      <c r="J350">
        <v>242613.75</v>
      </c>
      <c r="K350">
        <v>250440</v>
      </c>
      <c r="L350">
        <v>-7826.25</v>
      </c>
      <c r="M350" s="4">
        <v>41883</v>
      </c>
      <c r="N350">
        <v>9</v>
      </c>
      <c r="O350" t="s">
        <v>29</v>
      </c>
      <c r="P350" t="s">
        <v>15</v>
      </c>
      <c r="Q350" s="9">
        <f t="shared" si="15"/>
        <v>-3.2258064516129031E-2</v>
      </c>
      <c r="R350" s="9">
        <f t="shared" si="16"/>
        <v>1.032258064516129</v>
      </c>
      <c r="V350" t="str">
        <f t="shared" si="17"/>
        <v>Under Review</v>
      </c>
    </row>
    <row r="351" spans="1:22" x14ac:dyDescent="0.25">
      <c r="A351" t="s">
        <v>10</v>
      </c>
      <c r="B351" t="s">
        <v>18</v>
      </c>
      <c r="C351" t="s">
        <v>41</v>
      </c>
      <c r="D351" t="s">
        <v>47</v>
      </c>
      <c r="E351">
        <v>1976</v>
      </c>
      <c r="F351">
        <v>120</v>
      </c>
      <c r="G351">
        <v>20</v>
      </c>
      <c r="H351">
        <v>39520</v>
      </c>
      <c r="I351">
        <v>2766.4</v>
      </c>
      <c r="J351">
        <v>36753.599999999999</v>
      </c>
      <c r="K351">
        <v>19760</v>
      </c>
      <c r="L351">
        <v>16993.599999999999</v>
      </c>
      <c r="M351" s="4">
        <v>41913</v>
      </c>
      <c r="N351">
        <v>10</v>
      </c>
      <c r="O351" t="s">
        <v>30</v>
      </c>
      <c r="P351" t="s">
        <v>15</v>
      </c>
      <c r="Q351" s="9">
        <f t="shared" si="15"/>
        <v>0.46236559139784944</v>
      </c>
      <c r="R351" s="9">
        <f t="shared" si="16"/>
        <v>0.5376344086021505</v>
      </c>
      <c r="V351" t="str">
        <f t="shared" si="17"/>
        <v>Good Performance</v>
      </c>
    </row>
    <row r="352" spans="1:22" x14ac:dyDescent="0.25">
      <c r="A352" t="s">
        <v>10</v>
      </c>
      <c r="B352" t="s">
        <v>17</v>
      </c>
      <c r="C352" t="s">
        <v>41</v>
      </c>
      <c r="D352" t="s">
        <v>47</v>
      </c>
      <c r="E352">
        <v>1421</v>
      </c>
      <c r="F352">
        <v>120</v>
      </c>
      <c r="G352">
        <v>20</v>
      </c>
      <c r="H352">
        <v>28420</v>
      </c>
      <c r="I352">
        <v>1989.4</v>
      </c>
      <c r="J352">
        <v>26430.6</v>
      </c>
      <c r="K352">
        <v>14210</v>
      </c>
      <c r="L352">
        <v>12220.599999999999</v>
      </c>
      <c r="M352" s="4">
        <v>41609</v>
      </c>
      <c r="N352">
        <v>12</v>
      </c>
      <c r="O352" t="s">
        <v>32</v>
      </c>
      <c r="P352" t="s">
        <v>14</v>
      </c>
      <c r="Q352" s="9">
        <f t="shared" si="15"/>
        <v>0.46236559139784944</v>
      </c>
      <c r="R352" s="9">
        <f t="shared" si="16"/>
        <v>0.53763440860215062</v>
      </c>
      <c r="V352" t="str">
        <f t="shared" si="17"/>
        <v>Good Performance</v>
      </c>
    </row>
    <row r="353" spans="1:22" x14ac:dyDescent="0.25">
      <c r="A353" t="s">
        <v>7</v>
      </c>
      <c r="B353" t="s">
        <v>17</v>
      </c>
      <c r="C353" t="s">
        <v>41</v>
      </c>
      <c r="D353" t="s">
        <v>47</v>
      </c>
      <c r="E353">
        <v>1372</v>
      </c>
      <c r="F353">
        <v>120</v>
      </c>
      <c r="G353">
        <v>300</v>
      </c>
      <c r="H353">
        <v>411600</v>
      </c>
      <c r="I353">
        <v>28812</v>
      </c>
      <c r="J353">
        <v>382788</v>
      </c>
      <c r="K353">
        <v>343000</v>
      </c>
      <c r="L353">
        <v>39788</v>
      </c>
      <c r="M353" s="4">
        <v>41974</v>
      </c>
      <c r="N353">
        <v>12</v>
      </c>
      <c r="O353" t="s">
        <v>32</v>
      </c>
      <c r="P353" t="s">
        <v>15</v>
      </c>
      <c r="Q353" s="9">
        <f t="shared" si="15"/>
        <v>0.1039426523297491</v>
      </c>
      <c r="R353" s="9">
        <f t="shared" si="16"/>
        <v>0.89605734767025091</v>
      </c>
      <c r="V353" t="str">
        <f t="shared" si="17"/>
        <v>Good Performance</v>
      </c>
    </row>
    <row r="354" spans="1:22" x14ac:dyDescent="0.25">
      <c r="A354" t="s">
        <v>10</v>
      </c>
      <c r="B354" t="s">
        <v>19</v>
      </c>
      <c r="C354" t="s">
        <v>41</v>
      </c>
      <c r="D354" t="s">
        <v>47</v>
      </c>
      <c r="E354">
        <v>588</v>
      </c>
      <c r="F354">
        <v>120</v>
      </c>
      <c r="G354">
        <v>20</v>
      </c>
      <c r="H354">
        <v>11760</v>
      </c>
      <c r="I354">
        <v>823.2</v>
      </c>
      <c r="J354">
        <v>10936.8</v>
      </c>
      <c r="K354">
        <v>5880</v>
      </c>
      <c r="L354">
        <v>5056.7999999999993</v>
      </c>
      <c r="M354" s="4">
        <v>41609</v>
      </c>
      <c r="N354">
        <v>12</v>
      </c>
      <c r="O354" t="s">
        <v>32</v>
      </c>
      <c r="P354" t="s">
        <v>14</v>
      </c>
      <c r="Q354" s="9">
        <f t="shared" si="15"/>
        <v>0.46236559139784944</v>
      </c>
      <c r="R354" s="9">
        <f t="shared" si="16"/>
        <v>0.53763440860215062</v>
      </c>
      <c r="V354" t="str">
        <f t="shared" si="17"/>
        <v>Good Performance</v>
      </c>
    </row>
    <row r="355" spans="1:22" x14ac:dyDescent="0.25">
      <c r="A355" t="s">
        <v>11</v>
      </c>
      <c r="B355" t="s">
        <v>16</v>
      </c>
      <c r="C355" t="s">
        <v>42</v>
      </c>
      <c r="D355" t="s">
        <v>47</v>
      </c>
      <c r="E355">
        <v>3244.5</v>
      </c>
      <c r="F355">
        <v>250</v>
      </c>
      <c r="G355">
        <v>12</v>
      </c>
      <c r="H355">
        <v>38934</v>
      </c>
      <c r="I355">
        <v>2725.38</v>
      </c>
      <c r="J355">
        <v>36208.620000000003</v>
      </c>
      <c r="K355">
        <v>9733.5</v>
      </c>
      <c r="L355">
        <v>26475.120000000003</v>
      </c>
      <c r="M355" s="4">
        <v>41640</v>
      </c>
      <c r="N355">
        <v>1</v>
      </c>
      <c r="O355" t="s">
        <v>21</v>
      </c>
      <c r="P355" t="s">
        <v>15</v>
      </c>
      <c r="Q355" s="9">
        <f t="shared" si="15"/>
        <v>0.73118279569892475</v>
      </c>
      <c r="R355" s="9">
        <f t="shared" si="16"/>
        <v>0.26881720430107525</v>
      </c>
      <c r="V355" t="str">
        <f t="shared" si="17"/>
        <v>Good Performance</v>
      </c>
    </row>
    <row r="356" spans="1:22" x14ac:dyDescent="0.25">
      <c r="A356" t="s">
        <v>7</v>
      </c>
      <c r="B356" t="s">
        <v>18</v>
      </c>
      <c r="C356" t="s">
        <v>42</v>
      </c>
      <c r="D356" t="s">
        <v>47</v>
      </c>
      <c r="E356">
        <v>959</v>
      </c>
      <c r="F356">
        <v>250</v>
      </c>
      <c r="G356">
        <v>300</v>
      </c>
      <c r="H356">
        <v>287700</v>
      </c>
      <c r="I356">
        <v>20139</v>
      </c>
      <c r="J356">
        <v>267561</v>
      </c>
      <c r="K356">
        <v>239750</v>
      </c>
      <c r="L356">
        <v>27811</v>
      </c>
      <c r="M356" s="4">
        <v>41671</v>
      </c>
      <c r="N356">
        <v>2</v>
      </c>
      <c r="O356" t="s">
        <v>22</v>
      </c>
      <c r="P356" t="s">
        <v>15</v>
      </c>
      <c r="Q356" s="9">
        <f t="shared" si="15"/>
        <v>0.1039426523297491</v>
      </c>
      <c r="R356" s="9">
        <f t="shared" si="16"/>
        <v>0.89605734767025091</v>
      </c>
      <c r="V356" t="str">
        <f t="shared" si="17"/>
        <v>Good Performance</v>
      </c>
    </row>
    <row r="357" spans="1:22" x14ac:dyDescent="0.25">
      <c r="A357" t="s">
        <v>7</v>
      </c>
      <c r="B357" t="s">
        <v>20</v>
      </c>
      <c r="C357" t="s">
        <v>42</v>
      </c>
      <c r="D357" t="s">
        <v>47</v>
      </c>
      <c r="E357">
        <v>2747</v>
      </c>
      <c r="F357">
        <v>250</v>
      </c>
      <c r="G357">
        <v>300</v>
      </c>
      <c r="H357">
        <v>824100</v>
      </c>
      <c r="I357">
        <v>57687</v>
      </c>
      <c r="J357">
        <v>766413</v>
      </c>
      <c r="K357">
        <v>686750</v>
      </c>
      <c r="L357">
        <v>79663</v>
      </c>
      <c r="M357" s="4">
        <v>41671</v>
      </c>
      <c r="N357">
        <v>2</v>
      </c>
      <c r="O357" t="s">
        <v>22</v>
      </c>
      <c r="P357" t="s">
        <v>15</v>
      </c>
      <c r="Q357" s="9">
        <f t="shared" si="15"/>
        <v>0.1039426523297491</v>
      </c>
      <c r="R357" s="9">
        <f t="shared" si="16"/>
        <v>0.89605734767025091</v>
      </c>
      <c r="V357" t="str">
        <f t="shared" si="17"/>
        <v>Good Performance</v>
      </c>
    </row>
    <row r="358" spans="1:22" x14ac:dyDescent="0.25">
      <c r="A358" t="s">
        <v>9</v>
      </c>
      <c r="B358" t="s">
        <v>16</v>
      </c>
      <c r="C358" t="s">
        <v>43</v>
      </c>
      <c r="D358" t="s">
        <v>47</v>
      </c>
      <c r="E358">
        <v>1645</v>
      </c>
      <c r="F358">
        <v>260</v>
      </c>
      <c r="G358">
        <v>125</v>
      </c>
      <c r="H358">
        <v>205625</v>
      </c>
      <c r="I358">
        <v>14393.75</v>
      </c>
      <c r="J358">
        <v>191231.25</v>
      </c>
      <c r="K358">
        <v>197400</v>
      </c>
      <c r="L358">
        <v>-6168.75</v>
      </c>
      <c r="M358" s="4">
        <v>41760</v>
      </c>
      <c r="N358">
        <v>5</v>
      </c>
      <c r="O358" t="s">
        <v>25</v>
      </c>
      <c r="P358" t="s">
        <v>15</v>
      </c>
      <c r="Q358" s="9">
        <f t="shared" si="15"/>
        <v>-3.2258064516129031E-2</v>
      </c>
      <c r="R358" s="9">
        <f t="shared" si="16"/>
        <v>1.032258064516129</v>
      </c>
      <c r="V358" t="str">
        <f t="shared" si="17"/>
        <v>Under Review</v>
      </c>
    </row>
    <row r="359" spans="1:22" x14ac:dyDescent="0.25">
      <c r="A359" t="s">
        <v>10</v>
      </c>
      <c r="B359" t="s">
        <v>18</v>
      </c>
      <c r="C359" t="s">
        <v>43</v>
      </c>
      <c r="D359" t="s">
        <v>47</v>
      </c>
      <c r="E359">
        <v>2876</v>
      </c>
      <c r="F359">
        <v>260</v>
      </c>
      <c r="G359">
        <v>350</v>
      </c>
      <c r="H359">
        <v>1006600</v>
      </c>
      <c r="I359">
        <v>70462</v>
      </c>
      <c r="J359">
        <v>936138</v>
      </c>
      <c r="K359">
        <v>747760</v>
      </c>
      <c r="L359">
        <v>188378</v>
      </c>
      <c r="M359" s="4">
        <v>41883</v>
      </c>
      <c r="N359">
        <v>9</v>
      </c>
      <c r="O359" t="s">
        <v>29</v>
      </c>
      <c r="P359" t="s">
        <v>15</v>
      </c>
      <c r="Q359" s="9">
        <f t="shared" si="15"/>
        <v>0.20122887864823349</v>
      </c>
      <c r="R359" s="9">
        <f t="shared" si="16"/>
        <v>0.79877112135176653</v>
      </c>
      <c r="V359" t="str">
        <f t="shared" si="17"/>
        <v>Good Performance</v>
      </c>
    </row>
    <row r="360" spans="1:22" x14ac:dyDescent="0.25">
      <c r="A360" t="s">
        <v>9</v>
      </c>
      <c r="B360" t="s">
        <v>19</v>
      </c>
      <c r="C360" t="s">
        <v>43</v>
      </c>
      <c r="D360" t="s">
        <v>47</v>
      </c>
      <c r="E360">
        <v>994</v>
      </c>
      <c r="F360">
        <v>260</v>
      </c>
      <c r="G360">
        <v>125</v>
      </c>
      <c r="H360">
        <v>124250</v>
      </c>
      <c r="I360">
        <v>8697.5</v>
      </c>
      <c r="J360">
        <v>115552.5</v>
      </c>
      <c r="K360">
        <v>119280</v>
      </c>
      <c r="L360">
        <v>-3727.5</v>
      </c>
      <c r="M360" s="4">
        <v>41518</v>
      </c>
      <c r="N360">
        <v>9</v>
      </c>
      <c r="O360" t="s">
        <v>29</v>
      </c>
      <c r="P360" t="s">
        <v>14</v>
      </c>
      <c r="Q360" s="9">
        <f t="shared" si="15"/>
        <v>-3.2258064516129031E-2</v>
      </c>
      <c r="R360" s="9">
        <f t="shared" si="16"/>
        <v>1.032258064516129</v>
      </c>
      <c r="V360" t="str">
        <f t="shared" si="17"/>
        <v>Under Review</v>
      </c>
    </row>
    <row r="361" spans="1:22" x14ac:dyDescent="0.25">
      <c r="A361" t="s">
        <v>10</v>
      </c>
      <c r="B361" t="s">
        <v>16</v>
      </c>
      <c r="C361" t="s">
        <v>43</v>
      </c>
      <c r="D361" t="s">
        <v>47</v>
      </c>
      <c r="E361">
        <v>1118</v>
      </c>
      <c r="F361">
        <v>260</v>
      </c>
      <c r="G361">
        <v>20</v>
      </c>
      <c r="H361">
        <v>22360</v>
      </c>
      <c r="I361">
        <v>1565.2</v>
      </c>
      <c r="J361">
        <v>20794.8</v>
      </c>
      <c r="K361">
        <v>11180</v>
      </c>
      <c r="L361">
        <v>9614.7999999999993</v>
      </c>
      <c r="M361" s="4">
        <v>41944</v>
      </c>
      <c r="N361">
        <v>11</v>
      </c>
      <c r="O361" t="s">
        <v>31</v>
      </c>
      <c r="P361" t="s">
        <v>15</v>
      </c>
      <c r="Q361" s="9">
        <f t="shared" si="15"/>
        <v>0.46236559139784944</v>
      </c>
      <c r="R361" s="9">
        <f t="shared" si="16"/>
        <v>0.5376344086021505</v>
      </c>
      <c r="V361" t="str">
        <f t="shared" si="17"/>
        <v>Good Performance</v>
      </c>
    </row>
    <row r="362" spans="1:22" x14ac:dyDescent="0.25">
      <c r="A362" t="s">
        <v>7</v>
      </c>
      <c r="B362" t="s">
        <v>17</v>
      </c>
      <c r="C362" t="s">
        <v>43</v>
      </c>
      <c r="D362" t="s">
        <v>47</v>
      </c>
      <c r="E362">
        <v>1372</v>
      </c>
      <c r="F362">
        <v>260</v>
      </c>
      <c r="G362">
        <v>300</v>
      </c>
      <c r="H362">
        <v>411600</v>
      </c>
      <c r="I362">
        <v>28812</v>
      </c>
      <c r="J362">
        <v>382788</v>
      </c>
      <c r="K362">
        <v>343000</v>
      </c>
      <c r="L362">
        <v>39788</v>
      </c>
      <c r="M362" s="4">
        <v>41974</v>
      </c>
      <c r="N362">
        <v>12</v>
      </c>
      <c r="O362" t="s">
        <v>32</v>
      </c>
      <c r="P362" t="s">
        <v>15</v>
      </c>
      <c r="Q362" s="9">
        <f t="shared" si="15"/>
        <v>0.1039426523297491</v>
      </c>
      <c r="R362" s="9">
        <f t="shared" si="16"/>
        <v>0.89605734767025091</v>
      </c>
      <c r="V362" t="str">
        <f t="shared" si="17"/>
        <v>Good Performance</v>
      </c>
    </row>
    <row r="363" spans="1:22" x14ac:dyDescent="0.25">
      <c r="A363" t="s">
        <v>10</v>
      </c>
      <c r="B363" t="s">
        <v>16</v>
      </c>
      <c r="C363" t="s">
        <v>39</v>
      </c>
      <c r="D363" t="s">
        <v>47</v>
      </c>
      <c r="E363">
        <v>488</v>
      </c>
      <c r="F363">
        <v>5</v>
      </c>
      <c r="G363">
        <v>7</v>
      </c>
      <c r="H363">
        <v>3416</v>
      </c>
      <c r="I363">
        <v>273.27999999999997</v>
      </c>
      <c r="J363">
        <v>3142.7200000000003</v>
      </c>
      <c r="K363">
        <v>2440</v>
      </c>
      <c r="L363">
        <v>702.72000000000025</v>
      </c>
      <c r="M363" s="4">
        <v>41671</v>
      </c>
      <c r="N363">
        <v>2</v>
      </c>
      <c r="O363" t="s">
        <v>22</v>
      </c>
      <c r="P363" t="s">
        <v>15</v>
      </c>
      <c r="Q363" s="9">
        <f t="shared" si="15"/>
        <v>0.22360248447204975</v>
      </c>
      <c r="R363" s="9">
        <f t="shared" si="16"/>
        <v>0.77639751552795022</v>
      </c>
      <c r="V363" t="str">
        <f t="shared" si="17"/>
        <v>Good Performance</v>
      </c>
    </row>
    <row r="364" spans="1:22" x14ac:dyDescent="0.25">
      <c r="A364" t="s">
        <v>10</v>
      </c>
      <c r="B364" t="s">
        <v>17</v>
      </c>
      <c r="C364" t="s">
        <v>39</v>
      </c>
      <c r="D364" t="s">
        <v>47</v>
      </c>
      <c r="E364">
        <v>1282</v>
      </c>
      <c r="F364">
        <v>5</v>
      </c>
      <c r="G364">
        <v>20</v>
      </c>
      <c r="H364">
        <v>25640</v>
      </c>
      <c r="I364">
        <v>2051.1999999999998</v>
      </c>
      <c r="J364">
        <v>23588.799999999999</v>
      </c>
      <c r="K364">
        <v>12820</v>
      </c>
      <c r="L364">
        <v>10768.8</v>
      </c>
      <c r="M364" s="4">
        <v>41791</v>
      </c>
      <c r="N364">
        <v>6</v>
      </c>
      <c r="O364" t="s">
        <v>26</v>
      </c>
      <c r="P364" t="s">
        <v>15</v>
      </c>
      <c r="Q364" s="9">
        <f t="shared" si="15"/>
        <v>0.45652173913043476</v>
      </c>
      <c r="R364" s="9">
        <f t="shared" si="16"/>
        <v>0.54347826086956519</v>
      </c>
      <c r="V364" t="str">
        <f t="shared" si="17"/>
        <v>Good Performance</v>
      </c>
    </row>
    <row r="365" spans="1:22" x14ac:dyDescent="0.25">
      <c r="A365" t="s">
        <v>10</v>
      </c>
      <c r="B365" t="s">
        <v>16</v>
      </c>
      <c r="C365" t="s">
        <v>40</v>
      </c>
      <c r="D365" t="s">
        <v>47</v>
      </c>
      <c r="E365">
        <v>257</v>
      </c>
      <c r="F365">
        <v>10</v>
      </c>
      <c r="G365">
        <v>7</v>
      </c>
      <c r="H365">
        <v>1799</v>
      </c>
      <c r="I365">
        <v>143.91999999999999</v>
      </c>
      <c r="J365">
        <v>1655.08</v>
      </c>
      <c r="K365">
        <v>1285</v>
      </c>
      <c r="L365">
        <v>370.07999999999993</v>
      </c>
      <c r="M365" s="4">
        <v>41760</v>
      </c>
      <c r="N365">
        <v>5</v>
      </c>
      <c r="O365" t="s">
        <v>25</v>
      </c>
      <c r="P365" t="s">
        <v>15</v>
      </c>
      <c r="Q365" s="9">
        <f t="shared" si="15"/>
        <v>0.22360248447204967</v>
      </c>
      <c r="R365" s="9">
        <f t="shared" si="16"/>
        <v>0.77639751552795033</v>
      </c>
      <c r="V365" t="str">
        <f t="shared" si="17"/>
        <v>Good Performance</v>
      </c>
    </row>
    <row r="366" spans="1:22" x14ac:dyDescent="0.25">
      <c r="A366" t="s">
        <v>10</v>
      </c>
      <c r="B366" t="s">
        <v>17</v>
      </c>
      <c r="C366" t="s">
        <v>43</v>
      </c>
      <c r="D366" t="s">
        <v>47</v>
      </c>
      <c r="E366">
        <v>1282</v>
      </c>
      <c r="F366">
        <v>260</v>
      </c>
      <c r="G366">
        <v>20</v>
      </c>
      <c r="H366">
        <v>25640</v>
      </c>
      <c r="I366">
        <v>2051.1999999999998</v>
      </c>
      <c r="J366">
        <v>23588.799999999999</v>
      </c>
      <c r="K366">
        <v>12820</v>
      </c>
      <c r="L366">
        <v>10768.8</v>
      </c>
      <c r="M366" s="4">
        <v>41791</v>
      </c>
      <c r="N366">
        <v>6</v>
      </c>
      <c r="O366" t="s">
        <v>26</v>
      </c>
      <c r="P366" t="s">
        <v>15</v>
      </c>
      <c r="Q366" s="9">
        <f t="shared" si="15"/>
        <v>0.45652173913043476</v>
      </c>
      <c r="R366" s="9">
        <f t="shared" si="16"/>
        <v>0.54347826086956519</v>
      </c>
      <c r="V366" t="str">
        <f t="shared" si="17"/>
        <v>Good Performance</v>
      </c>
    </row>
    <row r="367" spans="1:22" x14ac:dyDescent="0.25">
      <c r="A367" t="s">
        <v>9</v>
      </c>
      <c r="B367" t="s">
        <v>20</v>
      </c>
      <c r="C367" t="s">
        <v>38</v>
      </c>
      <c r="D367" t="s">
        <v>47</v>
      </c>
      <c r="E367">
        <v>1540</v>
      </c>
      <c r="F367">
        <v>3</v>
      </c>
      <c r="G367">
        <v>125</v>
      </c>
      <c r="H367">
        <v>192500</v>
      </c>
      <c r="I367">
        <v>15400</v>
      </c>
      <c r="J367">
        <v>177100</v>
      </c>
      <c r="K367">
        <v>184800</v>
      </c>
      <c r="L367">
        <v>-7700</v>
      </c>
      <c r="M367" s="4">
        <v>41852</v>
      </c>
      <c r="N367">
        <v>8</v>
      </c>
      <c r="O367" t="s">
        <v>28</v>
      </c>
      <c r="P367" t="s">
        <v>15</v>
      </c>
      <c r="Q367" s="9">
        <f t="shared" si="15"/>
        <v>-4.3478260869565216E-2</v>
      </c>
      <c r="R367" s="9">
        <f t="shared" si="16"/>
        <v>1.0434782608695652</v>
      </c>
      <c r="V367" t="str">
        <f t="shared" si="17"/>
        <v>Under Review</v>
      </c>
    </row>
    <row r="368" spans="1:22" x14ac:dyDescent="0.25">
      <c r="A368" t="s">
        <v>8</v>
      </c>
      <c r="B368" t="s">
        <v>18</v>
      </c>
      <c r="C368" t="s">
        <v>38</v>
      </c>
      <c r="D368" t="s">
        <v>47</v>
      </c>
      <c r="E368">
        <v>490</v>
      </c>
      <c r="F368">
        <v>3</v>
      </c>
      <c r="G368">
        <v>15</v>
      </c>
      <c r="H368">
        <v>7350</v>
      </c>
      <c r="I368">
        <v>588</v>
      </c>
      <c r="J368">
        <v>6762</v>
      </c>
      <c r="K368">
        <v>4900</v>
      </c>
      <c r="L368">
        <v>1862</v>
      </c>
      <c r="M368" s="4">
        <v>41944</v>
      </c>
      <c r="N368">
        <v>11</v>
      </c>
      <c r="O368" t="s">
        <v>31</v>
      </c>
      <c r="P368" t="s">
        <v>15</v>
      </c>
      <c r="Q368" s="9">
        <f t="shared" si="15"/>
        <v>0.27536231884057971</v>
      </c>
      <c r="R368" s="9">
        <f t="shared" si="16"/>
        <v>0.72463768115942029</v>
      </c>
      <c r="V368" t="str">
        <f t="shared" si="17"/>
        <v>Good Performance</v>
      </c>
    </row>
    <row r="369" spans="1:22" x14ac:dyDescent="0.25">
      <c r="A369" t="s">
        <v>10</v>
      </c>
      <c r="B369" t="s">
        <v>20</v>
      </c>
      <c r="C369" t="s">
        <v>38</v>
      </c>
      <c r="D369" t="s">
        <v>47</v>
      </c>
      <c r="E369">
        <v>1362</v>
      </c>
      <c r="F369">
        <v>3</v>
      </c>
      <c r="G369">
        <v>350</v>
      </c>
      <c r="H369">
        <v>476700</v>
      </c>
      <c r="I369">
        <v>38136</v>
      </c>
      <c r="J369">
        <v>438564</v>
      </c>
      <c r="K369">
        <v>354120</v>
      </c>
      <c r="L369">
        <v>84444</v>
      </c>
      <c r="M369" s="4">
        <v>41974</v>
      </c>
      <c r="N369">
        <v>12</v>
      </c>
      <c r="O369" t="s">
        <v>32</v>
      </c>
      <c r="P369" t="s">
        <v>15</v>
      </c>
      <c r="Q369" s="9">
        <f t="shared" si="15"/>
        <v>0.19254658385093168</v>
      </c>
      <c r="R369" s="9">
        <f t="shared" si="16"/>
        <v>0.80745341614906829</v>
      </c>
      <c r="V369" t="str">
        <f t="shared" si="17"/>
        <v>Good Performance</v>
      </c>
    </row>
    <row r="370" spans="1:22" x14ac:dyDescent="0.25">
      <c r="A370" t="s">
        <v>8</v>
      </c>
      <c r="B370" t="s">
        <v>18</v>
      </c>
      <c r="C370" t="s">
        <v>39</v>
      </c>
      <c r="D370" t="s">
        <v>47</v>
      </c>
      <c r="E370">
        <v>2501</v>
      </c>
      <c r="F370">
        <v>5</v>
      </c>
      <c r="G370">
        <v>15</v>
      </c>
      <c r="H370">
        <v>37515</v>
      </c>
      <c r="I370">
        <v>3001.2</v>
      </c>
      <c r="J370">
        <v>34513.800000000003</v>
      </c>
      <c r="K370">
        <v>25010</v>
      </c>
      <c r="L370">
        <v>9503.8000000000029</v>
      </c>
      <c r="M370" s="4">
        <v>41699</v>
      </c>
      <c r="N370">
        <v>3</v>
      </c>
      <c r="O370" t="s">
        <v>23</v>
      </c>
      <c r="P370" t="s">
        <v>15</v>
      </c>
      <c r="Q370" s="9">
        <f t="shared" si="15"/>
        <v>0.27536231884057977</v>
      </c>
      <c r="R370" s="9">
        <f t="shared" si="16"/>
        <v>0.72463768115942018</v>
      </c>
      <c r="V370" t="str">
        <f t="shared" si="17"/>
        <v>Good Performance</v>
      </c>
    </row>
    <row r="371" spans="1:22" x14ac:dyDescent="0.25">
      <c r="A371" t="s">
        <v>10</v>
      </c>
      <c r="B371" t="s">
        <v>16</v>
      </c>
      <c r="C371" t="s">
        <v>39</v>
      </c>
      <c r="D371" t="s">
        <v>47</v>
      </c>
      <c r="E371">
        <v>708</v>
      </c>
      <c r="F371">
        <v>5</v>
      </c>
      <c r="G371">
        <v>20</v>
      </c>
      <c r="H371">
        <v>14160</v>
      </c>
      <c r="I371">
        <v>1132.8</v>
      </c>
      <c r="J371">
        <v>13027.2</v>
      </c>
      <c r="K371">
        <v>7080</v>
      </c>
      <c r="L371">
        <v>5947.2000000000007</v>
      </c>
      <c r="M371" s="4">
        <v>41791</v>
      </c>
      <c r="N371">
        <v>6</v>
      </c>
      <c r="O371" t="s">
        <v>26</v>
      </c>
      <c r="P371" t="s">
        <v>15</v>
      </c>
      <c r="Q371" s="9">
        <f t="shared" si="15"/>
        <v>0.45652173913043481</v>
      </c>
      <c r="R371" s="9">
        <f t="shared" si="16"/>
        <v>0.54347826086956519</v>
      </c>
      <c r="V371" t="str">
        <f t="shared" si="17"/>
        <v>Good Performance</v>
      </c>
    </row>
    <row r="372" spans="1:22" x14ac:dyDescent="0.25">
      <c r="A372" t="s">
        <v>10</v>
      </c>
      <c r="B372" t="s">
        <v>19</v>
      </c>
      <c r="C372" t="s">
        <v>39</v>
      </c>
      <c r="D372" t="s">
        <v>47</v>
      </c>
      <c r="E372">
        <v>645</v>
      </c>
      <c r="F372">
        <v>5</v>
      </c>
      <c r="G372">
        <v>20</v>
      </c>
      <c r="H372">
        <v>12900</v>
      </c>
      <c r="I372">
        <v>1032</v>
      </c>
      <c r="J372">
        <v>11868</v>
      </c>
      <c r="K372">
        <v>6450</v>
      </c>
      <c r="L372">
        <v>5418</v>
      </c>
      <c r="M372" s="4">
        <v>41821</v>
      </c>
      <c r="N372">
        <v>7</v>
      </c>
      <c r="O372" t="s">
        <v>27</v>
      </c>
      <c r="P372" t="s">
        <v>15</v>
      </c>
      <c r="Q372" s="9">
        <f t="shared" si="15"/>
        <v>0.45652173913043476</v>
      </c>
      <c r="R372" s="9">
        <f t="shared" si="16"/>
        <v>0.54347826086956519</v>
      </c>
      <c r="V372" t="str">
        <f t="shared" si="17"/>
        <v>Good Performance</v>
      </c>
    </row>
    <row r="373" spans="1:22" x14ac:dyDescent="0.25">
      <c r="A373" t="s">
        <v>7</v>
      </c>
      <c r="B373" t="s">
        <v>18</v>
      </c>
      <c r="C373" t="s">
        <v>39</v>
      </c>
      <c r="D373" t="s">
        <v>47</v>
      </c>
      <c r="E373">
        <v>1562</v>
      </c>
      <c r="F373">
        <v>5</v>
      </c>
      <c r="G373">
        <v>300</v>
      </c>
      <c r="H373">
        <v>468600</v>
      </c>
      <c r="I373">
        <v>37488</v>
      </c>
      <c r="J373">
        <v>431112</v>
      </c>
      <c r="K373">
        <v>390500</v>
      </c>
      <c r="L373">
        <v>40612</v>
      </c>
      <c r="M373" s="4">
        <v>41852</v>
      </c>
      <c r="N373">
        <v>8</v>
      </c>
      <c r="O373" t="s">
        <v>28</v>
      </c>
      <c r="P373" t="s">
        <v>15</v>
      </c>
      <c r="Q373" s="9">
        <f t="shared" si="15"/>
        <v>9.420289855072464E-2</v>
      </c>
      <c r="R373" s="9">
        <f t="shared" si="16"/>
        <v>0.90579710144927539</v>
      </c>
      <c r="V373" t="str">
        <f t="shared" si="17"/>
        <v>Under Review</v>
      </c>
    </row>
    <row r="374" spans="1:22" x14ac:dyDescent="0.25">
      <c r="A374" t="s">
        <v>7</v>
      </c>
      <c r="B374" t="s">
        <v>16</v>
      </c>
      <c r="C374" t="s">
        <v>39</v>
      </c>
      <c r="D374" t="s">
        <v>47</v>
      </c>
      <c r="E374">
        <v>1283</v>
      </c>
      <c r="F374">
        <v>5</v>
      </c>
      <c r="G374">
        <v>300</v>
      </c>
      <c r="H374">
        <v>384900</v>
      </c>
      <c r="I374">
        <v>30792</v>
      </c>
      <c r="J374">
        <v>354108</v>
      </c>
      <c r="K374">
        <v>320750</v>
      </c>
      <c r="L374">
        <v>33358</v>
      </c>
      <c r="M374" s="4">
        <v>41518</v>
      </c>
      <c r="N374">
        <v>9</v>
      </c>
      <c r="O374" t="s">
        <v>29</v>
      </c>
      <c r="P374" t="s">
        <v>14</v>
      </c>
      <c r="Q374" s="9">
        <f t="shared" si="15"/>
        <v>9.420289855072464E-2</v>
      </c>
      <c r="R374" s="9">
        <f t="shared" si="16"/>
        <v>0.90579710144927539</v>
      </c>
      <c r="V374" t="str">
        <f t="shared" si="17"/>
        <v>Under Review</v>
      </c>
    </row>
    <row r="375" spans="1:22" x14ac:dyDescent="0.25">
      <c r="A375" t="s">
        <v>8</v>
      </c>
      <c r="B375" t="s">
        <v>19</v>
      </c>
      <c r="C375" t="s">
        <v>39</v>
      </c>
      <c r="D375" t="s">
        <v>47</v>
      </c>
      <c r="E375">
        <v>711</v>
      </c>
      <c r="F375">
        <v>5</v>
      </c>
      <c r="G375">
        <v>15</v>
      </c>
      <c r="H375">
        <v>10665</v>
      </c>
      <c r="I375">
        <v>853.2</v>
      </c>
      <c r="J375">
        <v>9811.7999999999993</v>
      </c>
      <c r="K375">
        <v>7110</v>
      </c>
      <c r="L375">
        <v>2701.7999999999993</v>
      </c>
      <c r="M375" s="4">
        <v>41974</v>
      </c>
      <c r="N375">
        <v>12</v>
      </c>
      <c r="O375" t="s">
        <v>32</v>
      </c>
      <c r="P375" t="s">
        <v>15</v>
      </c>
      <c r="Q375" s="9">
        <f t="shared" si="15"/>
        <v>0.27536231884057966</v>
      </c>
      <c r="R375" s="9">
        <f t="shared" si="16"/>
        <v>0.72463768115942029</v>
      </c>
      <c r="V375" t="str">
        <f t="shared" si="17"/>
        <v>Good Performance</v>
      </c>
    </row>
    <row r="376" spans="1:22" x14ac:dyDescent="0.25">
      <c r="A376" t="s">
        <v>9</v>
      </c>
      <c r="B376" t="s">
        <v>20</v>
      </c>
      <c r="C376" t="s">
        <v>40</v>
      </c>
      <c r="D376" t="s">
        <v>47</v>
      </c>
      <c r="E376">
        <v>1114</v>
      </c>
      <c r="F376">
        <v>10</v>
      </c>
      <c r="G376">
        <v>125</v>
      </c>
      <c r="H376">
        <v>139250</v>
      </c>
      <c r="I376">
        <v>11140</v>
      </c>
      <c r="J376">
        <v>128110</v>
      </c>
      <c r="K376">
        <v>133680</v>
      </c>
      <c r="L376">
        <v>-5570</v>
      </c>
      <c r="M376" s="4">
        <v>41699</v>
      </c>
      <c r="N376">
        <v>3</v>
      </c>
      <c r="O376" t="s">
        <v>23</v>
      </c>
      <c r="P376" t="s">
        <v>15</v>
      </c>
      <c r="Q376" s="9">
        <f t="shared" si="15"/>
        <v>-4.3478260869565216E-2</v>
      </c>
      <c r="R376" s="9">
        <f t="shared" si="16"/>
        <v>1.0434782608695652</v>
      </c>
      <c r="V376" t="str">
        <f t="shared" si="17"/>
        <v>Under Review</v>
      </c>
    </row>
    <row r="377" spans="1:22" x14ac:dyDescent="0.25">
      <c r="A377" t="s">
        <v>10</v>
      </c>
      <c r="B377" t="s">
        <v>19</v>
      </c>
      <c r="C377" t="s">
        <v>40</v>
      </c>
      <c r="D377" t="s">
        <v>47</v>
      </c>
      <c r="E377">
        <v>1259</v>
      </c>
      <c r="F377">
        <v>10</v>
      </c>
      <c r="G377">
        <v>7</v>
      </c>
      <c r="H377">
        <v>8813</v>
      </c>
      <c r="I377">
        <v>705.04</v>
      </c>
      <c r="J377">
        <v>8107.96</v>
      </c>
      <c r="K377">
        <v>6295</v>
      </c>
      <c r="L377">
        <v>1812.96</v>
      </c>
      <c r="M377" s="4">
        <v>41730</v>
      </c>
      <c r="N377">
        <v>4</v>
      </c>
      <c r="O377" t="s">
        <v>24</v>
      </c>
      <c r="P377" t="s">
        <v>15</v>
      </c>
      <c r="Q377" s="9">
        <f t="shared" si="15"/>
        <v>0.2236024844720497</v>
      </c>
      <c r="R377" s="9">
        <f t="shared" si="16"/>
        <v>0.77639751552795033</v>
      </c>
      <c r="V377" t="str">
        <f t="shared" si="17"/>
        <v>Good Performance</v>
      </c>
    </row>
    <row r="378" spans="1:22" x14ac:dyDescent="0.25">
      <c r="A378" t="s">
        <v>10</v>
      </c>
      <c r="B378" t="s">
        <v>19</v>
      </c>
      <c r="C378" t="s">
        <v>40</v>
      </c>
      <c r="D378" t="s">
        <v>47</v>
      </c>
      <c r="E378">
        <v>1095</v>
      </c>
      <c r="F378">
        <v>10</v>
      </c>
      <c r="G378">
        <v>7</v>
      </c>
      <c r="H378">
        <v>7665</v>
      </c>
      <c r="I378">
        <v>613.20000000000005</v>
      </c>
      <c r="J378">
        <v>7051.8</v>
      </c>
      <c r="K378">
        <v>5475</v>
      </c>
      <c r="L378">
        <v>1576.8000000000002</v>
      </c>
      <c r="M378" s="4">
        <v>41760</v>
      </c>
      <c r="N378">
        <v>5</v>
      </c>
      <c r="O378" t="s">
        <v>25</v>
      </c>
      <c r="P378" t="s">
        <v>15</v>
      </c>
      <c r="Q378" s="9">
        <f t="shared" si="15"/>
        <v>0.22360248447204972</v>
      </c>
      <c r="R378" s="9">
        <f t="shared" si="16"/>
        <v>0.77639751552795033</v>
      </c>
      <c r="V378" t="str">
        <f t="shared" si="17"/>
        <v>Good Performance</v>
      </c>
    </row>
    <row r="379" spans="1:22" x14ac:dyDescent="0.25">
      <c r="A379" t="s">
        <v>10</v>
      </c>
      <c r="B379" t="s">
        <v>19</v>
      </c>
      <c r="C379" t="s">
        <v>40</v>
      </c>
      <c r="D379" t="s">
        <v>47</v>
      </c>
      <c r="E379">
        <v>1366</v>
      </c>
      <c r="F379">
        <v>10</v>
      </c>
      <c r="G379">
        <v>20</v>
      </c>
      <c r="H379">
        <v>27320</v>
      </c>
      <c r="I379">
        <v>2185.6</v>
      </c>
      <c r="J379">
        <v>25134.400000000001</v>
      </c>
      <c r="K379">
        <v>13660</v>
      </c>
      <c r="L379">
        <v>11474.400000000001</v>
      </c>
      <c r="M379" s="4">
        <v>41791</v>
      </c>
      <c r="N379">
        <v>6</v>
      </c>
      <c r="O379" t="s">
        <v>26</v>
      </c>
      <c r="P379" t="s">
        <v>15</v>
      </c>
      <c r="Q379" s="9">
        <f t="shared" si="15"/>
        <v>0.45652173913043481</v>
      </c>
      <c r="R379" s="9">
        <f t="shared" si="16"/>
        <v>0.54347826086956519</v>
      </c>
      <c r="V379" t="str">
        <f t="shared" si="17"/>
        <v>Good Performance</v>
      </c>
    </row>
    <row r="380" spans="1:22" x14ac:dyDescent="0.25">
      <c r="A380" t="s">
        <v>7</v>
      </c>
      <c r="B380" t="s">
        <v>20</v>
      </c>
      <c r="C380" t="s">
        <v>40</v>
      </c>
      <c r="D380" t="s">
        <v>47</v>
      </c>
      <c r="E380">
        <v>2460</v>
      </c>
      <c r="F380">
        <v>10</v>
      </c>
      <c r="G380">
        <v>300</v>
      </c>
      <c r="H380">
        <v>738000</v>
      </c>
      <c r="I380">
        <v>59040</v>
      </c>
      <c r="J380">
        <v>678960</v>
      </c>
      <c r="K380">
        <v>615000</v>
      </c>
      <c r="L380">
        <v>63960</v>
      </c>
      <c r="M380" s="4">
        <v>41791</v>
      </c>
      <c r="N380">
        <v>6</v>
      </c>
      <c r="O380" t="s">
        <v>26</v>
      </c>
      <c r="P380" t="s">
        <v>15</v>
      </c>
      <c r="Q380" s="9">
        <f t="shared" si="15"/>
        <v>9.420289855072464E-2</v>
      </c>
      <c r="R380" s="9">
        <f t="shared" si="16"/>
        <v>0.90579710144927539</v>
      </c>
      <c r="V380" t="str">
        <f t="shared" si="17"/>
        <v>Under Review</v>
      </c>
    </row>
    <row r="381" spans="1:22" x14ac:dyDescent="0.25">
      <c r="A381" t="s">
        <v>10</v>
      </c>
      <c r="B381" t="s">
        <v>17</v>
      </c>
      <c r="C381" t="s">
        <v>40</v>
      </c>
      <c r="D381" t="s">
        <v>47</v>
      </c>
      <c r="E381">
        <v>678</v>
      </c>
      <c r="F381">
        <v>10</v>
      </c>
      <c r="G381">
        <v>7</v>
      </c>
      <c r="H381">
        <v>4746</v>
      </c>
      <c r="I381">
        <v>379.68</v>
      </c>
      <c r="J381">
        <v>4366.32</v>
      </c>
      <c r="K381">
        <v>3390</v>
      </c>
      <c r="L381">
        <v>976.31999999999971</v>
      </c>
      <c r="M381" s="4">
        <v>41852</v>
      </c>
      <c r="N381">
        <v>8</v>
      </c>
      <c r="O381" t="s">
        <v>28</v>
      </c>
      <c r="P381" t="s">
        <v>15</v>
      </c>
      <c r="Q381" s="9">
        <f t="shared" si="15"/>
        <v>0.22360248447204964</v>
      </c>
      <c r="R381" s="9">
        <f t="shared" si="16"/>
        <v>0.77639751552795033</v>
      </c>
      <c r="V381" t="str">
        <f t="shared" si="17"/>
        <v>Good Performance</v>
      </c>
    </row>
    <row r="382" spans="1:22" x14ac:dyDescent="0.25">
      <c r="A382" t="s">
        <v>10</v>
      </c>
      <c r="B382" t="s">
        <v>19</v>
      </c>
      <c r="C382" t="s">
        <v>40</v>
      </c>
      <c r="D382" t="s">
        <v>47</v>
      </c>
      <c r="E382">
        <v>1598</v>
      </c>
      <c r="F382">
        <v>10</v>
      </c>
      <c r="G382">
        <v>7</v>
      </c>
      <c r="H382">
        <v>11186</v>
      </c>
      <c r="I382">
        <v>894.88</v>
      </c>
      <c r="J382">
        <v>10291.120000000001</v>
      </c>
      <c r="K382">
        <v>7990</v>
      </c>
      <c r="L382">
        <v>2301.1200000000008</v>
      </c>
      <c r="M382" s="4">
        <v>41852</v>
      </c>
      <c r="N382">
        <v>8</v>
      </c>
      <c r="O382" t="s">
        <v>28</v>
      </c>
      <c r="P382" t="s">
        <v>15</v>
      </c>
      <c r="Q382" s="9">
        <f t="shared" si="15"/>
        <v>0.22360248447204975</v>
      </c>
      <c r="R382" s="9">
        <f t="shared" si="16"/>
        <v>0.77639751552795022</v>
      </c>
      <c r="V382" t="str">
        <f t="shared" si="17"/>
        <v>Good Performance</v>
      </c>
    </row>
    <row r="383" spans="1:22" x14ac:dyDescent="0.25">
      <c r="A383" t="s">
        <v>10</v>
      </c>
      <c r="B383" t="s">
        <v>19</v>
      </c>
      <c r="C383" t="s">
        <v>40</v>
      </c>
      <c r="D383" t="s">
        <v>47</v>
      </c>
      <c r="E383">
        <v>2409</v>
      </c>
      <c r="F383">
        <v>10</v>
      </c>
      <c r="G383">
        <v>7</v>
      </c>
      <c r="H383">
        <v>16863</v>
      </c>
      <c r="I383">
        <v>1349.04</v>
      </c>
      <c r="J383">
        <v>15513.96</v>
      </c>
      <c r="K383">
        <v>12045</v>
      </c>
      <c r="L383">
        <v>3468.9599999999991</v>
      </c>
      <c r="M383" s="4">
        <v>41518</v>
      </c>
      <c r="N383">
        <v>9</v>
      </c>
      <c r="O383" t="s">
        <v>29</v>
      </c>
      <c r="P383" t="s">
        <v>14</v>
      </c>
      <c r="Q383" s="9">
        <f t="shared" si="15"/>
        <v>0.22360248447204964</v>
      </c>
      <c r="R383" s="9">
        <f t="shared" si="16"/>
        <v>0.77639751552795033</v>
      </c>
      <c r="V383" t="str">
        <f t="shared" si="17"/>
        <v>Good Performance</v>
      </c>
    </row>
    <row r="384" spans="1:22" x14ac:dyDescent="0.25">
      <c r="A384" t="s">
        <v>10</v>
      </c>
      <c r="B384" t="s">
        <v>19</v>
      </c>
      <c r="C384" t="s">
        <v>40</v>
      </c>
      <c r="D384" t="s">
        <v>47</v>
      </c>
      <c r="E384">
        <v>1934</v>
      </c>
      <c r="F384">
        <v>10</v>
      </c>
      <c r="G384">
        <v>20</v>
      </c>
      <c r="H384">
        <v>38680</v>
      </c>
      <c r="I384">
        <v>3094.4</v>
      </c>
      <c r="J384">
        <v>35585.599999999999</v>
      </c>
      <c r="K384">
        <v>19340</v>
      </c>
      <c r="L384">
        <v>16245.599999999999</v>
      </c>
      <c r="M384" s="4">
        <v>41883</v>
      </c>
      <c r="N384">
        <v>9</v>
      </c>
      <c r="O384" t="s">
        <v>29</v>
      </c>
      <c r="P384" t="s">
        <v>15</v>
      </c>
      <c r="Q384" s="9">
        <f t="shared" si="15"/>
        <v>0.45652173913043476</v>
      </c>
      <c r="R384" s="9">
        <f t="shared" si="16"/>
        <v>0.54347826086956519</v>
      </c>
      <c r="V384" t="str">
        <f t="shared" si="17"/>
        <v>Good Performance</v>
      </c>
    </row>
    <row r="385" spans="1:22" x14ac:dyDescent="0.25">
      <c r="A385" t="s">
        <v>10</v>
      </c>
      <c r="B385" t="s">
        <v>20</v>
      </c>
      <c r="C385" t="s">
        <v>40</v>
      </c>
      <c r="D385" t="s">
        <v>47</v>
      </c>
      <c r="E385">
        <v>2993</v>
      </c>
      <c r="F385">
        <v>10</v>
      </c>
      <c r="G385">
        <v>20</v>
      </c>
      <c r="H385">
        <v>59860</v>
      </c>
      <c r="I385">
        <v>4788.8</v>
      </c>
      <c r="J385">
        <v>55071.199999999997</v>
      </c>
      <c r="K385">
        <v>29930</v>
      </c>
      <c r="L385">
        <v>25141.199999999997</v>
      </c>
      <c r="M385" s="4">
        <v>41883</v>
      </c>
      <c r="N385">
        <v>9</v>
      </c>
      <c r="O385" t="s">
        <v>29</v>
      </c>
      <c r="P385" t="s">
        <v>15</v>
      </c>
      <c r="Q385" s="9">
        <f t="shared" si="15"/>
        <v>0.45652173913043476</v>
      </c>
      <c r="R385" s="9">
        <f t="shared" si="16"/>
        <v>0.5434782608695653</v>
      </c>
      <c r="V385" t="str">
        <f t="shared" si="17"/>
        <v>Good Performance</v>
      </c>
    </row>
    <row r="386" spans="1:22" x14ac:dyDescent="0.25">
      <c r="A386" t="s">
        <v>10</v>
      </c>
      <c r="B386" t="s">
        <v>19</v>
      </c>
      <c r="C386" t="s">
        <v>40</v>
      </c>
      <c r="D386" t="s">
        <v>47</v>
      </c>
      <c r="E386">
        <v>2146</v>
      </c>
      <c r="F386">
        <v>10</v>
      </c>
      <c r="G386">
        <v>350</v>
      </c>
      <c r="H386">
        <v>751100</v>
      </c>
      <c r="I386">
        <v>60088</v>
      </c>
      <c r="J386">
        <v>691012</v>
      </c>
      <c r="K386">
        <v>557960</v>
      </c>
      <c r="L386">
        <v>133052</v>
      </c>
      <c r="M386" s="4">
        <v>41579</v>
      </c>
      <c r="N386">
        <v>11</v>
      </c>
      <c r="O386" t="s">
        <v>31</v>
      </c>
      <c r="P386" t="s">
        <v>14</v>
      </c>
      <c r="Q386" s="9">
        <f t="shared" si="15"/>
        <v>0.19254658385093168</v>
      </c>
      <c r="R386" s="9">
        <f t="shared" si="16"/>
        <v>0.80745341614906829</v>
      </c>
      <c r="V386" t="str">
        <f t="shared" si="17"/>
        <v>Good Performance</v>
      </c>
    </row>
    <row r="387" spans="1:22" x14ac:dyDescent="0.25">
      <c r="A387" t="s">
        <v>10</v>
      </c>
      <c r="B387" t="s">
        <v>20</v>
      </c>
      <c r="C387" t="s">
        <v>40</v>
      </c>
      <c r="D387" t="s">
        <v>47</v>
      </c>
      <c r="E387">
        <v>1946</v>
      </c>
      <c r="F387">
        <v>10</v>
      </c>
      <c r="G387">
        <v>7</v>
      </c>
      <c r="H387">
        <v>13622</v>
      </c>
      <c r="I387">
        <v>1089.76</v>
      </c>
      <c r="J387">
        <v>12532.24</v>
      </c>
      <c r="K387">
        <v>9730</v>
      </c>
      <c r="L387">
        <v>2802.24</v>
      </c>
      <c r="M387" s="4">
        <v>41609</v>
      </c>
      <c r="N387">
        <v>12</v>
      </c>
      <c r="O387" t="s">
        <v>32</v>
      </c>
      <c r="P387" t="s">
        <v>14</v>
      </c>
      <c r="Q387" s="9">
        <f t="shared" ref="Q387:Q450" si="18">L387/J387</f>
        <v>0.22360248447204967</v>
      </c>
      <c r="R387" s="9">
        <f t="shared" ref="R387:R450" si="19">K387/J387</f>
        <v>0.77639751552795033</v>
      </c>
      <c r="V387" t="str">
        <f t="shared" ref="V387:V450" si="20">IF(Q387&lt;0.1, "Under Review", "Good Performance")</f>
        <v>Good Performance</v>
      </c>
    </row>
    <row r="388" spans="1:22" x14ac:dyDescent="0.25">
      <c r="A388" t="s">
        <v>10</v>
      </c>
      <c r="B388" t="s">
        <v>20</v>
      </c>
      <c r="C388" t="s">
        <v>40</v>
      </c>
      <c r="D388" t="s">
        <v>47</v>
      </c>
      <c r="E388">
        <v>1362</v>
      </c>
      <c r="F388">
        <v>10</v>
      </c>
      <c r="G388">
        <v>350</v>
      </c>
      <c r="H388">
        <v>476700</v>
      </c>
      <c r="I388">
        <v>38136</v>
      </c>
      <c r="J388">
        <v>438564</v>
      </c>
      <c r="K388">
        <v>354120</v>
      </c>
      <c r="L388">
        <v>84444</v>
      </c>
      <c r="M388" s="4">
        <v>41974</v>
      </c>
      <c r="N388">
        <v>12</v>
      </c>
      <c r="O388" t="s">
        <v>32</v>
      </c>
      <c r="P388" t="s">
        <v>15</v>
      </c>
      <c r="Q388" s="9">
        <f t="shared" si="18"/>
        <v>0.19254658385093168</v>
      </c>
      <c r="R388" s="9">
        <f t="shared" si="19"/>
        <v>0.80745341614906829</v>
      </c>
      <c r="V388" t="str">
        <f t="shared" si="20"/>
        <v>Good Performance</v>
      </c>
    </row>
    <row r="389" spans="1:22" x14ac:dyDescent="0.25">
      <c r="A389" t="s">
        <v>11</v>
      </c>
      <c r="B389" t="s">
        <v>16</v>
      </c>
      <c r="C389" t="s">
        <v>41</v>
      </c>
      <c r="D389" t="s">
        <v>47</v>
      </c>
      <c r="E389">
        <v>598</v>
      </c>
      <c r="F389">
        <v>120</v>
      </c>
      <c r="G389">
        <v>12</v>
      </c>
      <c r="H389">
        <v>7176</v>
      </c>
      <c r="I389">
        <v>574.08000000000004</v>
      </c>
      <c r="J389">
        <v>6601.92</v>
      </c>
      <c r="K389">
        <v>1794</v>
      </c>
      <c r="L389">
        <v>4807.92</v>
      </c>
      <c r="M389" s="4">
        <v>41699</v>
      </c>
      <c r="N389">
        <v>3</v>
      </c>
      <c r="O389" t="s">
        <v>23</v>
      </c>
      <c r="P389" t="s">
        <v>15</v>
      </c>
      <c r="Q389" s="9">
        <f t="shared" si="18"/>
        <v>0.72826086956521741</v>
      </c>
      <c r="R389" s="9">
        <f t="shared" si="19"/>
        <v>0.27173913043478259</v>
      </c>
      <c r="V389" t="str">
        <f t="shared" si="20"/>
        <v>Good Performance</v>
      </c>
    </row>
    <row r="390" spans="1:22" x14ac:dyDescent="0.25">
      <c r="A390" t="s">
        <v>10</v>
      </c>
      <c r="B390" t="s">
        <v>17</v>
      </c>
      <c r="C390" t="s">
        <v>41</v>
      </c>
      <c r="D390" t="s">
        <v>47</v>
      </c>
      <c r="E390">
        <v>2907</v>
      </c>
      <c r="F390">
        <v>120</v>
      </c>
      <c r="G390">
        <v>7</v>
      </c>
      <c r="H390">
        <v>20349</v>
      </c>
      <c r="I390">
        <v>1627.92</v>
      </c>
      <c r="J390">
        <v>18721.080000000002</v>
      </c>
      <c r="K390">
        <v>14535</v>
      </c>
      <c r="L390">
        <v>4186.0800000000017</v>
      </c>
      <c r="M390" s="4">
        <v>41791</v>
      </c>
      <c r="N390">
        <v>6</v>
      </c>
      <c r="O390" t="s">
        <v>26</v>
      </c>
      <c r="P390" t="s">
        <v>15</v>
      </c>
      <c r="Q390" s="9">
        <f t="shared" si="18"/>
        <v>0.22360248447204975</v>
      </c>
      <c r="R390" s="9">
        <f t="shared" si="19"/>
        <v>0.77639751552795022</v>
      </c>
      <c r="V390" t="str">
        <f t="shared" si="20"/>
        <v>Good Performance</v>
      </c>
    </row>
    <row r="391" spans="1:22" x14ac:dyDescent="0.25">
      <c r="A391" t="s">
        <v>10</v>
      </c>
      <c r="B391" t="s">
        <v>19</v>
      </c>
      <c r="C391" t="s">
        <v>41</v>
      </c>
      <c r="D391" t="s">
        <v>47</v>
      </c>
      <c r="E391">
        <v>2338</v>
      </c>
      <c r="F391">
        <v>120</v>
      </c>
      <c r="G391">
        <v>7</v>
      </c>
      <c r="H391">
        <v>16366</v>
      </c>
      <c r="I391">
        <v>1309.28</v>
      </c>
      <c r="J391">
        <v>15056.72</v>
      </c>
      <c r="K391">
        <v>11690</v>
      </c>
      <c r="L391">
        <v>3366.7199999999993</v>
      </c>
      <c r="M391" s="4">
        <v>41791</v>
      </c>
      <c r="N391">
        <v>6</v>
      </c>
      <c r="O391" t="s">
        <v>26</v>
      </c>
      <c r="P391" t="s">
        <v>15</v>
      </c>
      <c r="Q391" s="9">
        <f t="shared" si="18"/>
        <v>0.22360248447204967</v>
      </c>
      <c r="R391" s="9">
        <f t="shared" si="19"/>
        <v>0.77639751552795033</v>
      </c>
      <c r="V391" t="str">
        <f t="shared" si="20"/>
        <v>Good Performance</v>
      </c>
    </row>
    <row r="392" spans="1:22" x14ac:dyDescent="0.25">
      <c r="A392" t="s">
        <v>7</v>
      </c>
      <c r="B392" t="s">
        <v>18</v>
      </c>
      <c r="C392" t="s">
        <v>41</v>
      </c>
      <c r="D392" t="s">
        <v>47</v>
      </c>
      <c r="E392">
        <v>386</v>
      </c>
      <c r="F392">
        <v>120</v>
      </c>
      <c r="G392">
        <v>300</v>
      </c>
      <c r="H392">
        <v>115800</v>
      </c>
      <c r="I392">
        <v>9264</v>
      </c>
      <c r="J392">
        <v>106536</v>
      </c>
      <c r="K392">
        <v>96500</v>
      </c>
      <c r="L392">
        <v>10036</v>
      </c>
      <c r="M392" s="4">
        <v>41579</v>
      </c>
      <c r="N392">
        <v>11</v>
      </c>
      <c r="O392" t="s">
        <v>31</v>
      </c>
      <c r="P392" t="s">
        <v>14</v>
      </c>
      <c r="Q392" s="9">
        <f t="shared" si="18"/>
        <v>9.420289855072464E-2</v>
      </c>
      <c r="R392" s="9">
        <f t="shared" si="19"/>
        <v>0.90579710144927539</v>
      </c>
      <c r="V392" t="str">
        <f t="shared" si="20"/>
        <v>Under Review</v>
      </c>
    </row>
    <row r="393" spans="1:22" x14ac:dyDescent="0.25">
      <c r="A393" t="s">
        <v>7</v>
      </c>
      <c r="B393" t="s">
        <v>20</v>
      </c>
      <c r="C393" t="s">
        <v>41</v>
      </c>
      <c r="D393" t="s">
        <v>47</v>
      </c>
      <c r="E393">
        <v>635</v>
      </c>
      <c r="F393">
        <v>120</v>
      </c>
      <c r="G393">
        <v>300</v>
      </c>
      <c r="H393">
        <v>190500</v>
      </c>
      <c r="I393">
        <v>15240</v>
      </c>
      <c r="J393">
        <v>175260</v>
      </c>
      <c r="K393">
        <v>158750</v>
      </c>
      <c r="L393">
        <v>16510</v>
      </c>
      <c r="M393" s="4">
        <v>41974</v>
      </c>
      <c r="N393">
        <v>12</v>
      </c>
      <c r="O393" t="s">
        <v>32</v>
      </c>
      <c r="P393" t="s">
        <v>15</v>
      </c>
      <c r="Q393" s="9">
        <f t="shared" si="18"/>
        <v>9.420289855072464E-2</v>
      </c>
      <c r="R393" s="9">
        <f t="shared" si="19"/>
        <v>0.90579710144927539</v>
      </c>
      <c r="V393" t="str">
        <f t="shared" si="20"/>
        <v>Under Review</v>
      </c>
    </row>
    <row r="394" spans="1:22" x14ac:dyDescent="0.25">
      <c r="A394" t="s">
        <v>10</v>
      </c>
      <c r="B394" t="s">
        <v>18</v>
      </c>
      <c r="C394" t="s">
        <v>42</v>
      </c>
      <c r="D394" t="s">
        <v>47</v>
      </c>
      <c r="E394">
        <v>574.5</v>
      </c>
      <c r="F394">
        <v>250</v>
      </c>
      <c r="G394">
        <v>350</v>
      </c>
      <c r="H394">
        <v>201075</v>
      </c>
      <c r="I394">
        <v>16086</v>
      </c>
      <c r="J394">
        <v>184989</v>
      </c>
      <c r="K394">
        <v>149370</v>
      </c>
      <c r="L394">
        <v>35619</v>
      </c>
      <c r="M394" s="4">
        <v>41730</v>
      </c>
      <c r="N394">
        <v>4</v>
      </c>
      <c r="O394" t="s">
        <v>24</v>
      </c>
      <c r="P394" t="s">
        <v>15</v>
      </c>
      <c r="Q394" s="9">
        <f t="shared" si="18"/>
        <v>0.19254658385093168</v>
      </c>
      <c r="R394" s="9">
        <f t="shared" si="19"/>
        <v>0.80745341614906829</v>
      </c>
      <c r="V394" t="str">
        <f t="shared" si="20"/>
        <v>Good Performance</v>
      </c>
    </row>
    <row r="395" spans="1:22" x14ac:dyDescent="0.25">
      <c r="A395" t="s">
        <v>10</v>
      </c>
      <c r="B395" t="s">
        <v>19</v>
      </c>
      <c r="C395" t="s">
        <v>42</v>
      </c>
      <c r="D395" t="s">
        <v>47</v>
      </c>
      <c r="E395">
        <v>2338</v>
      </c>
      <c r="F395">
        <v>250</v>
      </c>
      <c r="G395">
        <v>7</v>
      </c>
      <c r="H395">
        <v>16366</v>
      </c>
      <c r="I395">
        <v>1309.28</v>
      </c>
      <c r="J395">
        <v>15056.72</v>
      </c>
      <c r="K395">
        <v>11690</v>
      </c>
      <c r="L395">
        <v>3366.7199999999993</v>
      </c>
      <c r="M395" s="4">
        <v>41791</v>
      </c>
      <c r="N395">
        <v>6</v>
      </c>
      <c r="O395" t="s">
        <v>26</v>
      </c>
      <c r="P395" t="s">
        <v>15</v>
      </c>
      <c r="Q395" s="9">
        <f t="shared" si="18"/>
        <v>0.22360248447204967</v>
      </c>
      <c r="R395" s="9">
        <f t="shared" si="19"/>
        <v>0.77639751552795033</v>
      </c>
      <c r="V395" t="str">
        <f t="shared" si="20"/>
        <v>Good Performance</v>
      </c>
    </row>
    <row r="396" spans="1:22" x14ac:dyDescent="0.25">
      <c r="A396" t="s">
        <v>10</v>
      </c>
      <c r="B396" t="s">
        <v>18</v>
      </c>
      <c r="C396" t="s">
        <v>42</v>
      </c>
      <c r="D396" t="s">
        <v>47</v>
      </c>
      <c r="E396">
        <v>381</v>
      </c>
      <c r="F396">
        <v>250</v>
      </c>
      <c r="G396">
        <v>350</v>
      </c>
      <c r="H396">
        <v>133350</v>
      </c>
      <c r="I396">
        <v>10668</v>
      </c>
      <c r="J396">
        <v>122682</v>
      </c>
      <c r="K396">
        <v>99060</v>
      </c>
      <c r="L396">
        <v>23622</v>
      </c>
      <c r="M396" s="4">
        <v>41852</v>
      </c>
      <c r="N396">
        <v>8</v>
      </c>
      <c r="O396" t="s">
        <v>28</v>
      </c>
      <c r="P396" t="s">
        <v>15</v>
      </c>
      <c r="Q396" s="9">
        <f t="shared" si="18"/>
        <v>0.19254658385093168</v>
      </c>
      <c r="R396" s="9">
        <f t="shared" si="19"/>
        <v>0.80745341614906829</v>
      </c>
      <c r="V396" t="str">
        <f t="shared" si="20"/>
        <v>Good Performance</v>
      </c>
    </row>
    <row r="397" spans="1:22" x14ac:dyDescent="0.25">
      <c r="A397" t="s">
        <v>10</v>
      </c>
      <c r="B397" t="s">
        <v>19</v>
      </c>
      <c r="C397" t="s">
        <v>42</v>
      </c>
      <c r="D397" t="s">
        <v>47</v>
      </c>
      <c r="E397">
        <v>422</v>
      </c>
      <c r="F397">
        <v>250</v>
      </c>
      <c r="G397">
        <v>350</v>
      </c>
      <c r="H397">
        <v>147700</v>
      </c>
      <c r="I397">
        <v>11816</v>
      </c>
      <c r="J397">
        <v>135884</v>
      </c>
      <c r="K397">
        <v>109720</v>
      </c>
      <c r="L397">
        <v>26164</v>
      </c>
      <c r="M397" s="4">
        <v>41852</v>
      </c>
      <c r="N397">
        <v>8</v>
      </c>
      <c r="O397" t="s">
        <v>28</v>
      </c>
      <c r="P397" t="s">
        <v>15</v>
      </c>
      <c r="Q397" s="9">
        <f t="shared" si="18"/>
        <v>0.19254658385093168</v>
      </c>
      <c r="R397" s="9">
        <f t="shared" si="19"/>
        <v>0.80745341614906829</v>
      </c>
      <c r="V397" t="str">
        <f t="shared" si="20"/>
        <v>Good Performance</v>
      </c>
    </row>
    <row r="398" spans="1:22" x14ac:dyDescent="0.25">
      <c r="A398" t="s">
        <v>7</v>
      </c>
      <c r="B398" t="s">
        <v>16</v>
      </c>
      <c r="C398" t="s">
        <v>42</v>
      </c>
      <c r="D398" t="s">
        <v>47</v>
      </c>
      <c r="E398">
        <v>2134</v>
      </c>
      <c r="F398">
        <v>250</v>
      </c>
      <c r="G398">
        <v>300</v>
      </c>
      <c r="H398">
        <v>640200</v>
      </c>
      <c r="I398">
        <v>51216</v>
      </c>
      <c r="J398">
        <v>588984</v>
      </c>
      <c r="K398">
        <v>533500</v>
      </c>
      <c r="L398">
        <v>55484</v>
      </c>
      <c r="M398" s="4">
        <v>41883</v>
      </c>
      <c r="N398">
        <v>9</v>
      </c>
      <c r="O398" t="s">
        <v>29</v>
      </c>
      <c r="P398" t="s">
        <v>15</v>
      </c>
      <c r="Q398" s="9">
        <f t="shared" si="18"/>
        <v>9.420289855072464E-2</v>
      </c>
      <c r="R398" s="9">
        <f t="shared" si="19"/>
        <v>0.90579710144927539</v>
      </c>
      <c r="V398" t="str">
        <f t="shared" si="20"/>
        <v>Under Review</v>
      </c>
    </row>
    <row r="399" spans="1:22" x14ac:dyDescent="0.25">
      <c r="A399" t="s">
        <v>7</v>
      </c>
      <c r="B399" t="s">
        <v>17</v>
      </c>
      <c r="C399" t="s">
        <v>42</v>
      </c>
      <c r="D399" t="s">
        <v>47</v>
      </c>
      <c r="E399">
        <v>808</v>
      </c>
      <c r="F399">
        <v>250</v>
      </c>
      <c r="G399">
        <v>300</v>
      </c>
      <c r="H399">
        <v>242400</v>
      </c>
      <c r="I399">
        <v>19392</v>
      </c>
      <c r="J399">
        <v>223008</v>
      </c>
      <c r="K399">
        <v>202000</v>
      </c>
      <c r="L399">
        <v>21008</v>
      </c>
      <c r="M399" s="4">
        <v>41609</v>
      </c>
      <c r="N399">
        <v>12</v>
      </c>
      <c r="O399" t="s">
        <v>32</v>
      </c>
      <c r="P399" t="s">
        <v>14</v>
      </c>
      <c r="Q399" s="9">
        <f t="shared" si="18"/>
        <v>9.420289855072464E-2</v>
      </c>
      <c r="R399" s="9">
        <f t="shared" si="19"/>
        <v>0.90579710144927539</v>
      </c>
      <c r="V399" t="str">
        <f t="shared" si="20"/>
        <v>Under Review</v>
      </c>
    </row>
    <row r="400" spans="1:22" x14ac:dyDescent="0.25">
      <c r="A400" t="s">
        <v>10</v>
      </c>
      <c r="B400" t="s">
        <v>16</v>
      </c>
      <c r="C400" t="s">
        <v>43</v>
      </c>
      <c r="D400" t="s">
        <v>47</v>
      </c>
      <c r="E400">
        <v>708</v>
      </c>
      <c r="F400">
        <v>260</v>
      </c>
      <c r="G400">
        <v>20</v>
      </c>
      <c r="H400">
        <v>14160</v>
      </c>
      <c r="I400">
        <v>1132.8</v>
      </c>
      <c r="J400">
        <v>13027.2</v>
      </c>
      <c r="K400">
        <v>7080</v>
      </c>
      <c r="L400">
        <v>5947.2000000000007</v>
      </c>
      <c r="M400" s="4">
        <v>41791</v>
      </c>
      <c r="N400">
        <v>6</v>
      </c>
      <c r="O400" t="s">
        <v>26</v>
      </c>
      <c r="P400" t="s">
        <v>15</v>
      </c>
      <c r="Q400" s="9">
        <f t="shared" si="18"/>
        <v>0.45652173913043481</v>
      </c>
      <c r="R400" s="9">
        <f t="shared" si="19"/>
        <v>0.54347826086956519</v>
      </c>
      <c r="V400" t="str">
        <f t="shared" si="20"/>
        <v>Good Performance</v>
      </c>
    </row>
    <row r="401" spans="1:22" x14ac:dyDescent="0.25">
      <c r="A401" t="s">
        <v>10</v>
      </c>
      <c r="B401" t="s">
        <v>17</v>
      </c>
      <c r="C401" t="s">
        <v>43</v>
      </c>
      <c r="D401" t="s">
        <v>47</v>
      </c>
      <c r="E401">
        <v>2907</v>
      </c>
      <c r="F401">
        <v>260</v>
      </c>
      <c r="G401">
        <v>7</v>
      </c>
      <c r="H401">
        <v>20349</v>
      </c>
      <c r="I401">
        <v>1627.92</v>
      </c>
      <c r="J401">
        <v>18721.080000000002</v>
      </c>
      <c r="K401">
        <v>14535</v>
      </c>
      <c r="L401">
        <v>4186.0800000000017</v>
      </c>
      <c r="M401" s="4">
        <v>41791</v>
      </c>
      <c r="N401">
        <v>6</v>
      </c>
      <c r="O401" t="s">
        <v>26</v>
      </c>
      <c r="P401" t="s">
        <v>15</v>
      </c>
      <c r="Q401" s="9">
        <f t="shared" si="18"/>
        <v>0.22360248447204975</v>
      </c>
      <c r="R401" s="9">
        <f t="shared" si="19"/>
        <v>0.77639751552795022</v>
      </c>
      <c r="V401" t="str">
        <f t="shared" si="20"/>
        <v>Good Performance</v>
      </c>
    </row>
    <row r="402" spans="1:22" x14ac:dyDescent="0.25">
      <c r="A402" t="s">
        <v>10</v>
      </c>
      <c r="B402" t="s">
        <v>19</v>
      </c>
      <c r="C402" t="s">
        <v>43</v>
      </c>
      <c r="D402" t="s">
        <v>47</v>
      </c>
      <c r="E402">
        <v>1366</v>
      </c>
      <c r="F402">
        <v>260</v>
      </c>
      <c r="G402">
        <v>20</v>
      </c>
      <c r="H402">
        <v>27320</v>
      </c>
      <c r="I402">
        <v>2185.6</v>
      </c>
      <c r="J402">
        <v>25134.400000000001</v>
      </c>
      <c r="K402">
        <v>13660</v>
      </c>
      <c r="L402">
        <v>11474.400000000001</v>
      </c>
      <c r="M402" s="4">
        <v>41791</v>
      </c>
      <c r="N402">
        <v>6</v>
      </c>
      <c r="O402" t="s">
        <v>26</v>
      </c>
      <c r="P402" t="s">
        <v>15</v>
      </c>
      <c r="Q402" s="9">
        <f t="shared" si="18"/>
        <v>0.45652173913043481</v>
      </c>
      <c r="R402" s="9">
        <f t="shared" si="19"/>
        <v>0.54347826086956519</v>
      </c>
      <c r="V402" t="str">
        <f t="shared" si="20"/>
        <v>Good Performance</v>
      </c>
    </row>
    <row r="403" spans="1:22" x14ac:dyDescent="0.25">
      <c r="A403" t="s">
        <v>7</v>
      </c>
      <c r="B403" t="s">
        <v>20</v>
      </c>
      <c r="C403" t="s">
        <v>43</v>
      </c>
      <c r="D403" t="s">
        <v>47</v>
      </c>
      <c r="E403">
        <v>2460</v>
      </c>
      <c r="F403">
        <v>260</v>
      </c>
      <c r="G403">
        <v>300</v>
      </c>
      <c r="H403">
        <v>738000</v>
      </c>
      <c r="I403">
        <v>59040</v>
      </c>
      <c r="J403">
        <v>678960</v>
      </c>
      <c r="K403">
        <v>615000</v>
      </c>
      <c r="L403">
        <v>63960</v>
      </c>
      <c r="M403" s="4">
        <v>41791</v>
      </c>
      <c r="N403">
        <v>6</v>
      </c>
      <c r="O403" t="s">
        <v>26</v>
      </c>
      <c r="P403" t="s">
        <v>15</v>
      </c>
      <c r="Q403" s="9">
        <f t="shared" si="18"/>
        <v>9.420289855072464E-2</v>
      </c>
      <c r="R403" s="9">
        <f t="shared" si="19"/>
        <v>0.90579710144927539</v>
      </c>
      <c r="V403" t="str">
        <f t="shared" si="20"/>
        <v>Under Review</v>
      </c>
    </row>
    <row r="404" spans="1:22" x14ac:dyDescent="0.25">
      <c r="A404" t="s">
        <v>10</v>
      </c>
      <c r="B404" t="s">
        <v>19</v>
      </c>
      <c r="C404" t="s">
        <v>43</v>
      </c>
      <c r="D404" t="s">
        <v>47</v>
      </c>
      <c r="E404">
        <v>1520</v>
      </c>
      <c r="F404">
        <v>260</v>
      </c>
      <c r="G404">
        <v>20</v>
      </c>
      <c r="H404">
        <v>30400</v>
      </c>
      <c r="I404">
        <v>2432</v>
      </c>
      <c r="J404">
        <v>27968</v>
      </c>
      <c r="K404">
        <v>15200</v>
      </c>
      <c r="L404">
        <v>12768</v>
      </c>
      <c r="M404" s="4">
        <v>41944</v>
      </c>
      <c r="N404">
        <v>11</v>
      </c>
      <c r="O404" t="s">
        <v>31</v>
      </c>
      <c r="P404" t="s">
        <v>15</v>
      </c>
      <c r="Q404" s="9">
        <f t="shared" si="18"/>
        <v>0.45652173913043476</v>
      </c>
      <c r="R404" s="9">
        <f t="shared" si="19"/>
        <v>0.54347826086956519</v>
      </c>
      <c r="V404" t="str">
        <f t="shared" si="20"/>
        <v>Good Performance</v>
      </c>
    </row>
    <row r="405" spans="1:22" x14ac:dyDescent="0.25">
      <c r="A405" t="s">
        <v>8</v>
      </c>
      <c r="B405" t="s">
        <v>19</v>
      </c>
      <c r="C405" t="s">
        <v>43</v>
      </c>
      <c r="D405" t="s">
        <v>47</v>
      </c>
      <c r="E405">
        <v>711</v>
      </c>
      <c r="F405">
        <v>260</v>
      </c>
      <c r="G405">
        <v>15</v>
      </c>
      <c r="H405">
        <v>10665</v>
      </c>
      <c r="I405">
        <v>853.2</v>
      </c>
      <c r="J405">
        <v>9811.7999999999993</v>
      </c>
      <c r="K405">
        <v>7110</v>
      </c>
      <c r="L405">
        <v>2701.7999999999993</v>
      </c>
      <c r="M405" s="4">
        <v>41974</v>
      </c>
      <c r="N405">
        <v>12</v>
      </c>
      <c r="O405" t="s">
        <v>32</v>
      </c>
      <c r="P405" t="s">
        <v>15</v>
      </c>
      <c r="Q405" s="9">
        <f t="shared" si="18"/>
        <v>0.27536231884057966</v>
      </c>
      <c r="R405" s="9">
        <f t="shared" si="19"/>
        <v>0.72463768115942029</v>
      </c>
      <c r="V405" t="str">
        <f t="shared" si="20"/>
        <v>Good Performance</v>
      </c>
    </row>
    <row r="406" spans="1:22" x14ac:dyDescent="0.25">
      <c r="A406" t="s">
        <v>11</v>
      </c>
      <c r="B406" t="s">
        <v>20</v>
      </c>
      <c r="C406" t="s">
        <v>43</v>
      </c>
      <c r="D406" t="s">
        <v>47</v>
      </c>
      <c r="E406">
        <v>1375</v>
      </c>
      <c r="F406">
        <v>260</v>
      </c>
      <c r="G406">
        <v>12</v>
      </c>
      <c r="H406">
        <v>16500</v>
      </c>
      <c r="I406">
        <v>1320</v>
      </c>
      <c r="J406">
        <v>15180</v>
      </c>
      <c r="K406">
        <v>4125</v>
      </c>
      <c r="L406">
        <v>11055</v>
      </c>
      <c r="M406" s="4">
        <v>41609</v>
      </c>
      <c r="N406">
        <v>12</v>
      </c>
      <c r="O406" t="s">
        <v>32</v>
      </c>
      <c r="P406" t="s">
        <v>14</v>
      </c>
      <c r="Q406" s="9">
        <f t="shared" si="18"/>
        <v>0.72826086956521741</v>
      </c>
      <c r="R406" s="9">
        <f t="shared" si="19"/>
        <v>0.27173913043478259</v>
      </c>
      <c r="V406" t="str">
        <f t="shared" si="20"/>
        <v>Good Performance</v>
      </c>
    </row>
    <row r="407" spans="1:22" x14ac:dyDescent="0.25">
      <c r="A407" t="s">
        <v>7</v>
      </c>
      <c r="B407" t="s">
        <v>20</v>
      </c>
      <c r="C407" t="s">
        <v>43</v>
      </c>
      <c r="D407" t="s">
        <v>47</v>
      </c>
      <c r="E407">
        <v>635</v>
      </c>
      <c r="F407">
        <v>260</v>
      </c>
      <c r="G407">
        <v>300</v>
      </c>
      <c r="H407">
        <v>190500</v>
      </c>
      <c r="I407">
        <v>15240</v>
      </c>
      <c r="J407">
        <v>175260</v>
      </c>
      <c r="K407">
        <v>158750</v>
      </c>
      <c r="L407">
        <v>16510</v>
      </c>
      <c r="M407" s="4">
        <v>41974</v>
      </c>
      <c r="N407">
        <v>12</v>
      </c>
      <c r="O407" t="s">
        <v>32</v>
      </c>
      <c r="P407" t="s">
        <v>15</v>
      </c>
      <c r="Q407" s="9">
        <f t="shared" si="18"/>
        <v>9.420289855072464E-2</v>
      </c>
      <c r="R407" s="9">
        <f t="shared" si="19"/>
        <v>0.90579710144927539</v>
      </c>
      <c r="V407" t="str">
        <f t="shared" si="20"/>
        <v>Under Review</v>
      </c>
    </row>
    <row r="408" spans="1:22" x14ac:dyDescent="0.25">
      <c r="A408" t="s">
        <v>10</v>
      </c>
      <c r="B408" t="s">
        <v>17</v>
      </c>
      <c r="C408" t="s">
        <v>42</v>
      </c>
      <c r="D408" t="s">
        <v>47</v>
      </c>
      <c r="E408">
        <v>436.5</v>
      </c>
      <c r="F408">
        <v>250</v>
      </c>
      <c r="G408">
        <v>20</v>
      </c>
      <c r="H408">
        <v>8730</v>
      </c>
      <c r="I408">
        <v>698.40000000000009</v>
      </c>
      <c r="J408">
        <v>8031.5999999999995</v>
      </c>
      <c r="K408">
        <v>4365</v>
      </c>
      <c r="L408">
        <v>3666.5999999999995</v>
      </c>
      <c r="M408" s="4">
        <v>41821</v>
      </c>
      <c r="N408">
        <v>7</v>
      </c>
      <c r="O408" t="s">
        <v>27</v>
      </c>
      <c r="P408" t="s">
        <v>15</v>
      </c>
      <c r="Q408" s="9">
        <f t="shared" si="18"/>
        <v>0.45652173913043476</v>
      </c>
      <c r="R408" s="9">
        <f t="shared" si="19"/>
        <v>0.5434782608695653</v>
      </c>
      <c r="V408" t="str">
        <f t="shared" si="20"/>
        <v>Good Performance</v>
      </c>
    </row>
    <row r="409" spans="1:22" x14ac:dyDescent="0.25">
      <c r="A409" t="s">
        <v>7</v>
      </c>
      <c r="B409" t="s">
        <v>16</v>
      </c>
      <c r="C409" t="s">
        <v>38</v>
      </c>
      <c r="D409" t="s">
        <v>47</v>
      </c>
      <c r="E409">
        <v>1094</v>
      </c>
      <c r="F409">
        <v>3</v>
      </c>
      <c r="G409">
        <v>300</v>
      </c>
      <c r="H409">
        <v>328200</v>
      </c>
      <c r="I409">
        <v>29538</v>
      </c>
      <c r="J409">
        <v>298662</v>
      </c>
      <c r="K409">
        <v>273500</v>
      </c>
      <c r="L409">
        <v>25162</v>
      </c>
      <c r="M409" s="4">
        <v>41791</v>
      </c>
      <c r="N409">
        <v>6</v>
      </c>
      <c r="O409" t="s">
        <v>26</v>
      </c>
      <c r="P409" t="s">
        <v>15</v>
      </c>
      <c r="Q409" s="9">
        <f t="shared" si="18"/>
        <v>8.4249084249084255E-2</v>
      </c>
      <c r="R409" s="9">
        <f t="shared" si="19"/>
        <v>0.91575091575091572</v>
      </c>
      <c r="V409" t="str">
        <f t="shared" si="20"/>
        <v>Under Review</v>
      </c>
    </row>
    <row r="410" spans="1:22" x14ac:dyDescent="0.25">
      <c r="A410" t="s">
        <v>11</v>
      </c>
      <c r="B410" t="s">
        <v>20</v>
      </c>
      <c r="C410" t="s">
        <v>38</v>
      </c>
      <c r="D410" t="s">
        <v>47</v>
      </c>
      <c r="E410">
        <v>367</v>
      </c>
      <c r="F410">
        <v>3</v>
      </c>
      <c r="G410">
        <v>12</v>
      </c>
      <c r="H410">
        <v>4404</v>
      </c>
      <c r="I410">
        <v>396.36</v>
      </c>
      <c r="J410">
        <v>4007.64</v>
      </c>
      <c r="K410">
        <v>1101</v>
      </c>
      <c r="L410">
        <v>2906.64</v>
      </c>
      <c r="M410" s="4">
        <v>41548</v>
      </c>
      <c r="N410">
        <v>10</v>
      </c>
      <c r="O410" t="s">
        <v>30</v>
      </c>
      <c r="P410" t="s">
        <v>14</v>
      </c>
      <c r="Q410" s="9">
        <f t="shared" si="18"/>
        <v>0.72527472527472525</v>
      </c>
      <c r="R410" s="9">
        <f t="shared" si="19"/>
        <v>0.27472527472527475</v>
      </c>
      <c r="V410" t="str">
        <f t="shared" si="20"/>
        <v>Good Performance</v>
      </c>
    </row>
    <row r="411" spans="1:22" x14ac:dyDescent="0.25">
      <c r="A411" t="s">
        <v>7</v>
      </c>
      <c r="B411" t="s">
        <v>16</v>
      </c>
      <c r="C411" t="s">
        <v>39</v>
      </c>
      <c r="D411" t="s">
        <v>47</v>
      </c>
      <c r="E411">
        <v>3802.5</v>
      </c>
      <c r="F411">
        <v>5</v>
      </c>
      <c r="G411">
        <v>300</v>
      </c>
      <c r="H411">
        <v>1140750</v>
      </c>
      <c r="I411">
        <v>102667.5</v>
      </c>
      <c r="J411">
        <v>1038082.5</v>
      </c>
      <c r="K411">
        <v>950625</v>
      </c>
      <c r="L411">
        <v>87457.5</v>
      </c>
      <c r="M411" s="4">
        <v>41730</v>
      </c>
      <c r="N411">
        <v>4</v>
      </c>
      <c r="O411" t="s">
        <v>24</v>
      </c>
      <c r="P411" t="s">
        <v>15</v>
      </c>
      <c r="Q411" s="9">
        <f t="shared" si="18"/>
        <v>8.4249084249084255E-2</v>
      </c>
      <c r="R411" s="9">
        <f t="shared" si="19"/>
        <v>0.91575091575091572</v>
      </c>
      <c r="V411" t="str">
        <f t="shared" si="20"/>
        <v>Under Review</v>
      </c>
    </row>
    <row r="412" spans="1:22" x14ac:dyDescent="0.25">
      <c r="A412" t="s">
        <v>10</v>
      </c>
      <c r="B412" t="s">
        <v>18</v>
      </c>
      <c r="C412" t="s">
        <v>39</v>
      </c>
      <c r="D412" t="s">
        <v>47</v>
      </c>
      <c r="E412">
        <v>1666</v>
      </c>
      <c r="F412">
        <v>5</v>
      </c>
      <c r="G412">
        <v>350</v>
      </c>
      <c r="H412">
        <v>583100</v>
      </c>
      <c r="I412">
        <v>52479</v>
      </c>
      <c r="J412">
        <v>530621</v>
      </c>
      <c r="K412">
        <v>433160</v>
      </c>
      <c r="L412">
        <v>97461</v>
      </c>
      <c r="M412" s="4">
        <v>41760</v>
      </c>
      <c r="N412">
        <v>5</v>
      </c>
      <c r="O412" t="s">
        <v>25</v>
      </c>
      <c r="P412" t="s">
        <v>15</v>
      </c>
      <c r="Q412" s="9">
        <f t="shared" si="18"/>
        <v>0.18367346938775511</v>
      </c>
      <c r="R412" s="9">
        <f t="shared" si="19"/>
        <v>0.81632653061224492</v>
      </c>
      <c r="V412" t="str">
        <f t="shared" si="20"/>
        <v>Good Performance</v>
      </c>
    </row>
    <row r="413" spans="1:22" x14ac:dyDescent="0.25">
      <c r="A413" t="s">
        <v>7</v>
      </c>
      <c r="B413" t="s">
        <v>18</v>
      </c>
      <c r="C413" t="s">
        <v>39</v>
      </c>
      <c r="D413" t="s">
        <v>47</v>
      </c>
      <c r="E413">
        <v>322</v>
      </c>
      <c r="F413">
        <v>5</v>
      </c>
      <c r="G413">
        <v>300</v>
      </c>
      <c r="H413">
        <v>96600</v>
      </c>
      <c r="I413">
        <v>8694</v>
      </c>
      <c r="J413">
        <v>87906</v>
      </c>
      <c r="K413">
        <v>80500</v>
      </c>
      <c r="L413">
        <v>7406</v>
      </c>
      <c r="M413" s="4">
        <v>41518</v>
      </c>
      <c r="N413">
        <v>9</v>
      </c>
      <c r="O413" t="s">
        <v>29</v>
      </c>
      <c r="P413" t="s">
        <v>14</v>
      </c>
      <c r="Q413" s="9">
        <f t="shared" si="18"/>
        <v>8.4249084249084255E-2</v>
      </c>
      <c r="R413" s="9">
        <f t="shared" si="19"/>
        <v>0.91575091575091572</v>
      </c>
      <c r="V413" t="str">
        <f t="shared" si="20"/>
        <v>Under Review</v>
      </c>
    </row>
    <row r="414" spans="1:22" x14ac:dyDescent="0.25">
      <c r="A414" t="s">
        <v>11</v>
      </c>
      <c r="B414" t="s">
        <v>16</v>
      </c>
      <c r="C414" t="s">
        <v>39</v>
      </c>
      <c r="D414" t="s">
        <v>47</v>
      </c>
      <c r="E414">
        <v>2321</v>
      </c>
      <c r="F414">
        <v>5</v>
      </c>
      <c r="G414">
        <v>12</v>
      </c>
      <c r="H414">
        <v>27852</v>
      </c>
      <c r="I414">
        <v>2506.6799999999998</v>
      </c>
      <c r="J414">
        <v>25345.32</v>
      </c>
      <c r="K414">
        <v>6963</v>
      </c>
      <c r="L414">
        <v>18382.32</v>
      </c>
      <c r="M414" s="4">
        <v>41944</v>
      </c>
      <c r="N414">
        <v>11</v>
      </c>
      <c r="O414" t="s">
        <v>31</v>
      </c>
      <c r="P414" t="s">
        <v>15</v>
      </c>
      <c r="Q414" s="9">
        <f t="shared" si="18"/>
        <v>0.72527472527472525</v>
      </c>
      <c r="R414" s="9">
        <f t="shared" si="19"/>
        <v>0.27472527472527475</v>
      </c>
      <c r="V414" t="str">
        <f t="shared" si="20"/>
        <v>Good Performance</v>
      </c>
    </row>
    <row r="415" spans="1:22" x14ac:dyDescent="0.25">
      <c r="A415" t="s">
        <v>9</v>
      </c>
      <c r="B415" t="s">
        <v>18</v>
      </c>
      <c r="C415" t="s">
        <v>39</v>
      </c>
      <c r="D415" t="s">
        <v>47</v>
      </c>
      <c r="E415">
        <v>1857</v>
      </c>
      <c r="F415">
        <v>5</v>
      </c>
      <c r="G415">
        <v>125</v>
      </c>
      <c r="H415">
        <v>232125</v>
      </c>
      <c r="I415">
        <v>20891.25</v>
      </c>
      <c r="J415">
        <v>211233.75</v>
      </c>
      <c r="K415">
        <v>222840</v>
      </c>
      <c r="L415">
        <v>-11606.25</v>
      </c>
      <c r="M415" s="4">
        <v>41579</v>
      </c>
      <c r="N415">
        <v>11</v>
      </c>
      <c r="O415" t="s">
        <v>31</v>
      </c>
      <c r="P415" t="s">
        <v>14</v>
      </c>
      <c r="Q415" s="9">
        <f t="shared" si="18"/>
        <v>-5.4945054945054944E-2</v>
      </c>
      <c r="R415" s="9">
        <f t="shared" si="19"/>
        <v>1.054945054945055</v>
      </c>
      <c r="V415" t="str">
        <f t="shared" si="20"/>
        <v>Under Review</v>
      </c>
    </row>
    <row r="416" spans="1:22" x14ac:dyDescent="0.25">
      <c r="A416" t="s">
        <v>10</v>
      </c>
      <c r="B416" t="s">
        <v>16</v>
      </c>
      <c r="C416" t="s">
        <v>39</v>
      </c>
      <c r="D416" t="s">
        <v>47</v>
      </c>
      <c r="E416">
        <v>1611</v>
      </c>
      <c r="F416">
        <v>5</v>
      </c>
      <c r="G416">
        <v>7</v>
      </c>
      <c r="H416">
        <v>11277</v>
      </c>
      <c r="I416">
        <v>1014.93</v>
      </c>
      <c r="J416">
        <v>10262.07</v>
      </c>
      <c r="K416">
        <v>8055</v>
      </c>
      <c r="L416">
        <v>2207.0699999999997</v>
      </c>
      <c r="M416" s="4">
        <v>41609</v>
      </c>
      <c r="N416">
        <v>12</v>
      </c>
      <c r="O416" t="s">
        <v>32</v>
      </c>
      <c r="P416" t="s">
        <v>14</v>
      </c>
      <c r="Q416" s="9">
        <f t="shared" si="18"/>
        <v>0.21507064364207218</v>
      </c>
      <c r="R416" s="9">
        <f t="shared" si="19"/>
        <v>0.78492935635792782</v>
      </c>
      <c r="V416" t="str">
        <f t="shared" si="20"/>
        <v>Good Performance</v>
      </c>
    </row>
    <row r="417" spans="1:22" x14ac:dyDescent="0.25">
      <c r="A417" t="s">
        <v>9</v>
      </c>
      <c r="B417" t="s">
        <v>17</v>
      </c>
      <c r="C417" t="s">
        <v>39</v>
      </c>
      <c r="D417" t="s">
        <v>47</v>
      </c>
      <c r="E417">
        <v>2797</v>
      </c>
      <c r="F417">
        <v>5</v>
      </c>
      <c r="G417">
        <v>125</v>
      </c>
      <c r="H417">
        <v>349625</v>
      </c>
      <c r="I417">
        <v>31466.25</v>
      </c>
      <c r="J417">
        <v>318158.75</v>
      </c>
      <c r="K417">
        <v>335640</v>
      </c>
      <c r="L417">
        <v>-17481.25</v>
      </c>
      <c r="M417" s="4">
        <v>41974</v>
      </c>
      <c r="N417">
        <v>12</v>
      </c>
      <c r="O417" t="s">
        <v>32</v>
      </c>
      <c r="P417" t="s">
        <v>15</v>
      </c>
      <c r="Q417" s="9">
        <f t="shared" si="18"/>
        <v>-5.4945054945054944E-2</v>
      </c>
      <c r="R417" s="9">
        <f t="shared" si="19"/>
        <v>1.054945054945055</v>
      </c>
      <c r="V417" t="str">
        <f t="shared" si="20"/>
        <v>Under Review</v>
      </c>
    </row>
    <row r="418" spans="1:22" x14ac:dyDescent="0.25">
      <c r="A418" t="s">
        <v>7</v>
      </c>
      <c r="B418" t="s">
        <v>19</v>
      </c>
      <c r="C418" t="s">
        <v>39</v>
      </c>
      <c r="D418" t="s">
        <v>47</v>
      </c>
      <c r="E418">
        <v>334</v>
      </c>
      <c r="F418">
        <v>5</v>
      </c>
      <c r="G418">
        <v>300</v>
      </c>
      <c r="H418">
        <v>100200</v>
      </c>
      <c r="I418">
        <v>9018</v>
      </c>
      <c r="J418">
        <v>91182</v>
      </c>
      <c r="K418">
        <v>83500</v>
      </c>
      <c r="L418">
        <v>7682</v>
      </c>
      <c r="M418" s="4">
        <v>41609</v>
      </c>
      <c r="N418">
        <v>12</v>
      </c>
      <c r="O418" t="s">
        <v>32</v>
      </c>
      <c r="P418" t="s">
        <v>14</v>
      </c>
      <c r="Q418" s="9">
        <f t="shared" si="18"/>
        <v>8.4249084249084255E-2</v>
      </c>
      <c r="R418" s="9">
        <f t="shared" si="19"/>
        <v>0.91575091575091572</v>
      </c>
      <c r="V418" t="str">
        <f t="shared" si="20"/>
        <v>Under Review</v>
      </c>
    </row>
    <row r="419" spans="1:22" x14ac:dyDescent="0.25">
      <c r="A419" t="s">
        <v>7</v>
      </c>
      <c r="B419" t="s">
        <v>20</v>
      </c>
      <c r="C419" t="s">
        <v>40</v>
      </c>
      <c r="D419" t="s">
        <v>47</v>
      </c>
      <c r="E419">
        <v>2565</v>
      </c>
      <c r="F419">
        <v>10</v>
      </c>
      <c r="G419">
        <v>300</v>
      </c>
      <c r="H419">
        <v>769500</v>
      </c>
      <c r="I419">
        <v>69255</v>
      </c>
      <c r="J419">
        <v>700245</v>
      </c>
      <c r="K419">
        <v>641250</v>
      </c>
      <c r="L419">
        <v>58995</v>
      </c>
      <c r="M419" s="4">
        <v>41640</v>
      </c>
      <c r="N419">
        <v>1</v>
      </c>
      <c r="O419" t="s">
        <v>21</v>
      </c>
      <c r="P419" t="s">
        <v>15</v>
      </c>
      <c r="Q419" s="9">
        <f t="shared" si="18"/>
        <v>8.4249084249084255E-2</v>
      </c>
      <c r="R419" s="9">
        <f t="shared" si="19"/>
        <v>0.91575091575091572</v>
      </c>
      <c r="V419" t="str">
        <f t="shared" si="20"/>
        <v>Under Review</v>
      </c>
    </row>
    <row r="420" spans="1:22" x14ac:dyDescent="0.25">
      <c r="A420" t="s">
        <v>10</v>
      </c>
      <c r="B420" t="s">
        <v>20</v>
      </c>
      <c r="C420" t="s">
        <v>40</v>
      </c>
      <c r="D420" t="s">
        <v>47</v>
      </c>
      <c r="E420">
        <v>2417</v>
      </c>
      <c r="F420">
        <v>10</v>
      </c>
      <c r="G420">
        <v>350</v>
      </c>
      <c r="H420">
        <v>845950</v>
      </c>
      <c r="I420">
        <v>76135.5</v>
      </c>
      <c r="J420">
        <v>769814.5</v>
      </c>
      <c r="K420">
        <v>628420</v>
      </c>
      <c r="L420">
        <v>141394.5</v>
      </c>
      <c r="M420" s="4">
        <v>41640</v>
      </c>
      <c r="N420">
        <v>1</v>
      </c>
      <c r="O420" t="s">
        <v>21</v>
      </c>
      <c r="P420" t="s">
        <v>15</v>
      </c>
      <c r="Q420" s="9">
        <f t="shared" si="18"/>
        <v>0.18367346938775511</v>
      </c>
      <c r="R420" s="9">
        <f t="shared" si="19"/>
        <v>0.81632653061224492</v>
      </c>
      <c r="V420" t="str">
        <f t="shared" si="20"/>
        <v>Good Performance</v>
      </c>
    </row>
    <row r="421" spans="1:22" x14ac:dyDescent="0.25">
      <c r="A421" t="s">
        <v>8</v>
      </c>
      <c r="B421" t="s">
        <v>17</v>
      </c>
      <c r="C421" t="s">
        <v>40</v>
      </c>
      <c r="D421" t="s">
        <v>47</v>
      </c>
      <c r="E421">
        <v>3675</v>
      </c>
      <c r="F421">
        <v>10</v>
      </c>
      <c r="G421">
        <v>15</v>
      </c>
      <c r="H421">
        <v>55125</v>
      </c>
      <c r="I421">
        <v>4961.25</v>
      </c>
      <c r="J421">
        <v>50163.75</v>
      </c>
      <c r="K421">
        <v>36750</v>
      </c>
      <c r="L421">
        <v>13413.75</v>
      </c>
      <c r="M421" s="4">
        <v>41730</v>
      </c>
      <c r="N421">
        <v>4</v>
      </c>
      <c r="O421" t="s">
        <v>24</v>
      </c>
      <c r="P421" t="s">
        <v>15</v>
      </c>
      <c r="Q421" s="9">
        <f t="shared" si="18"/>
        <v>0.26739926739926739</v>
      </c>
      <c r="R421" s="9">
        <f t="shared" si="19"/>
        <v>0.73260073260073255</v>
      </c>
      <c r="V421" t="str">
        <f t="shared" si="20"/>
        <v>Good Performance</v>
      </c>
    </row>
    <row r="422" spans="1:22" x14ac:dyDescent="0.25">
      <c r="A422" t="s">
        <v>7</v>
      </c>
      <c r="B422" t="s">
        <v>16</v>
      </c>
      <c r="C422" t="s">
        <v>40</v>
      </c>
      <c r="D422" t="s">
        <v>47</v>
      </c>
      <c r="E422">
        <v>1094</v>
      </c>
      <c r="F422">
        <v>10</v>
      </c>
      <c r="G422">
        <v>300</v>
      </c>
      <c r="H422">
        <v>328200</v>
      </c>
      <c r="I422">
        <v>29538</v>
      </c>
      <c r="J422">
        <v>298662</v>
      </c>
      <c r="K422">
        <v>273500</v>
      </c>
      <c r="L422">
        <v>25162</v>
      </c>
      <c r="M422" s="4">
        <v>41791</v>
      </c>
      <c r="N422">
        <v>6</v>
      </c>
      <c r="O422" t="s">
        <v>26</v>
      </c>
      <c r="P422" t="s">
        <v>15</v>
      </c>
      <c r="Q422" s="9">
        <f t="shared" si="18"/>
        <v>8.4249084249084255E-2</v>
      </c>
      <c r="R422" s="9">
        <f t="shared" si="19"/>
        <v>0.91575091575091572</v>
      </c>
      <c r="V422" t="str">
        <f t="shared" si="20"/>
        <v>Under Review</v>
      </c>
    </row>
    <row r="423" spans="1:22" x14ac:dyDescent="0.25">
      <c r="A423" t="s">
        <v>8</v>
      </c>
      <c r="B423" t="s">
        <v>18</v>
      </c>
      <c r="C423" t="s">
        <v>40</v>
      </c>
      <c r="D423" t="s">
        <v>47</v>
      </c>
      <c r="E423">
        <v>1227</v>
      </c>
      <c r="F423">
        <v>10</v>
      </c>
      <c r="G423">
        <v>15</v>
      </c>
      <c r="H423">
        <v>18405</v>
      </c>
      <c r="I423">
        <v>1656.45</v>
      </c>
      <c r="J423">
        <v>16748.55</v>
      </c>
      <c r="K423">
        <v>12270</v>
      </c>
      <c r="L423">
        <v>4478.5499999999993</v>
      </c>
      <c r="M423" s="4">
        <v>41913</v>
      </c>
      <c r="N423">
        <v>10</v>
      </c>
      <c r="O423" t="s">
        <v>30</v>
      </c>
      <c r="P423" t="s">
        <v>15</v>
      </c>
      <c r="Q423" s="9">
        <f t="shared" si="18"/>
        <v>0.26739926739926739</v>
      </c>
      <c r="R423" s="9">
        <f t="shared" si="19"/>
        <v>0.73260073260073266</v>
      </c>
      <c r="V423" t="str">
        <f t="shared" si="20"/>
        <v>Good Performance</v>
      </c>
    </row>
    <row r="424" spans="1:22" x14ac:dyDescent="0.25">
      <c r="A424" t="s">
        <v>11</v>
      </c>
      <c r="B424" t="s">
        <v>20</v>
      </c>
      <c r="C424" t="s">
        <v>40</v>
      </c>
      <c r="D424" t="s">
        <v>47</v>
      </c>
      <c r="E424">
        <v>367</v>
      </c>
      <c r="F424">
        <v>10</v>
      </c>
      <c r="G424">
        <v>12</v>
      </c>
      <c r="H424">
        <v>4404</v>
      </c>
      <c r="I424">
        <v>396.36</v>
      </c>
      <c r="J424">
        <v>4007.64</v>
      </c>
      <c r="K424">
        <v>1101</v>
      </c>
      <c r="L424">
        <v>2906.64</v>
      </c>
      <c r="M424" s="4">
        <v>41548</v>
      </c>
      <c r="N424">
        <v>10</v>
      </c>
      <c r="O424" t="s">
        <v>30</v>
      </c>
      <c r="P424" t="s">
        <v>14</v>
      </c>
      <c r="Q424" s="9">
        <f t="shared" si="18"/>
        <v>0.72527472527472525</v>
      </c>
      <c r="R424" s="9">
        <f t="shared" si="19"/>
        <v>0.27472527472527475</v>
      </c>
      <c r="V424" t="str">
        <f t="shared" si="20"/>
        <v>Good Performance</v>
      </c>
    </row>
    <row r="425" spans="1:22" x14ac:dyDescent="0.25">
      <c r="A425" t="s">
        <v>7</v>
      </c>
      <c r="B425" t="s">
        <v>18</v>
      </c>
      <c r="C425" t="s">
        <v>40</v>
      </c>
      <c r="D425" t="s">
        <v>47</v>
      </c>
      <c r="E425">
        <v>1324</v>
      </c>
      <c r="F425">
        <v>10</v>
      </c>
      <c r="G425">
        <v>300</v>
      </c>
      <c r="H425">
        <v>397200</v>
      </c>
      <c r="I425">
        <v>35748</v>
      </c>
      <c r="J425">
        <v>361452</v>
      </c>
      <c r="K425">
        <v>331000</v>
      </c>
      <c r="L425">
        <v>30452</v>
      </c>
      <c r="M425" s="4">
        <v>41944</v>
      </c>
      <c r="N425">
        <v>11</v>
      </c>
      <c r="O425" t="s">
        <v>31</v>
      </c>
      <c r="P425" t="s">
        <v>15</v>
      </c>
      <c r="Q425" s="9">
        <f t="shared" si="18"/>
        <v>8.4249084249084255E-2</v>
      </c>
      <c r="R425" s="9">
        <f t="shared" si="19"/>
        <v>0.91575091575091572</v>
      </c>
      <c r="V425" t="str">
        <f t="shared" si="20"/>
        <v>Under Review</v>
      </c>
    </row>
    <row r="426" spans="1:22" x14ac:dyDescent="0.25">
      <c r="A426" t="s">
        <v>11</v>
      </c>
      <c r="B426" t="s">
        <v>19</v>
      </c>
      <c r="C426" t="s">
        <v>40</v>
      </c>
      <c r="D426" t="s">
        <v>47</v>
      </c>
      <c r="E426">
        <v>1775</v>
      </c>
      <c r="F426">
        <v>10</v>
      </c>
      <c r="G426">
        <v>12</v>
      </c>
      <c r="H426">
        <v>21300</v>
      </c>
      <c r="I426">
        <v>1917</v>
      </c>
      <c r="J426">
        <v>19383</v>
      </c>
      <c r="K426">
        <v>5325</v>
      </c>
      <c r="L426">
        <v>14058</v>
      </c>
      <c r="M426" s="4">
        <v>41579</v>
      </c>
      <c r="N426">
        <v>11</v>
      </c>
      <c r="O426" t="s">
        <v>31</v>
      </c>
      <c r="P426" t="s">
        <v>14</v>
      </c>
      <c r="Q426" s="9">
        <f t="shared" si="18"/>
        <v>0.72527472527472525</v>
      </c>
      <c r="R426" s="9">
        <f t="shared" si="19"/>
        <v>0.27472527472527475</v>
      </c>
      <c r="V426" t="str">
        <f t="shared" si="20"/>
        <v>Good Performance</v>
      </c>
    </row>
    <row r="427" spans="1:22" x14ac:dyDescent="0.25">
      <c r="A427" t="s">
        <v>9</v>
      </c>
      <c r="B427" t="s">
        <v>17</v>
      </c>
      <c r="C427" t="s">
        <v>40</v>
      </c>
      <c r="D427" t="s">
        <v>47</v>
      </c>
      <c r="E427">
        <v>2797</v>
      </c>
      <c r="F427">
        <v>10</v>
      </c>
      <c r="G427">
        <v>125</v>
      </c>
      <c r="H427">
        <v>349625</v>
      </c>
      <c r="I427">
        <v>31466.25</v>
      </c>
      <c r="J427">
        <v>318158.75</v>
      </c>
      <c r="K427">
        <v>335640</v>
      </c>
      <c r="L427">
        <v>-17481.25</v>
      </c>
      <c r="M427" s="4">
        <v>41974</v>
      </c>
      <c r="N427">
        <v>12</v>
      </c>
      <c r="O427" t="s">
        <v>32</v>
      </c>
      <c r="P427" t="s">
        <v>15</v>
      </c>
      <c r="Q427" s="9">
        <f t="shared" si="18"/>
        <v>-5.4945054945054944E-2</v>
      </c>
      <c r="R427" s="9">
        <f t="shared" si="19"/>
        <v>1.054945054945055</v>
      </c>
      <c r="V427" t="str">
        <f t="shared" si="20"/>
        <v>Under Review</v>
      </c>
    </row>
    <row r="428" spans="1:22" x14ac:dyDescent="0.25">
      <c r="A428" t="s">
        <v>8</v>
      </c>
      <c r="B428" t="s">
        <v>20</v>
      </c>
      <c r="C428" t="s">
        <v>41</v>
      </c>
      <c r="D428" t="s">
        <v>47</v>
      </c>
      <c r="E428">
        <v>245</v>
      </c>
      <c r="F428">
        <v>120</v>
      </c>
      <c r="G428">
        <v>15</v>
      </c>
      <c r="H428">
        <v>3675</v>
      </c>
      <c r="I428">
        <v>330.75</v>
      </c>
      <c r="J428">
        <v>3344.25</v>
      </c>
      <c r="K428">
        <v>2450</v>
      </c>
      <c r="L428">
        <v>894.25</v>
      </c>
      <c r="M428" s="4">
        <v>41760</v>
      </c>
      <c r="N428">
        <v>5</v>
      </c>
      <c r="O428" t="s">
        <v>25</v>
      </c>
      <c r="P428" t="s">
        <v>15</v>
      </c>
      <c r="Q428" s="9">
        <f t="shared" si="18"/>
        <v>0.26739926739926739</v>
      </c>
      <c r="R428" s="9">
        <f t="shared" si="19"/>
        <v>0.73260073260073255</v>
      </c>
      <c r="V428" t="str">
        <f t="shared" si="20"/>
        <v>Good Performance</v>
      </c>
    </row>
    <row r="429" spans="1:22" x14ac:dyDescent="0.25">
      <c r="A429" t="s">
        <v>7</v>
      </c>
      <c r="B429" t="s">
        <v>16</v>
      </c>
      <c r="C429" t="s">
        <v>41</v>
      </c>
      <c r="D429" t="s">
        <v>47</v>
      </c>
      <c r="E429">
        <v>3793.5</v>
      </c>
      <c r="F429">
        <v>120</v>
      </c>
      <c r="G429">
        <v>300</v>
      </c>
      <c r="H429">
        <v>1138050</v>
      </c>
      <c r="I429">
        <v>102424.5</v>
      </c>
      <c r="J429">
        <v>1035625.5</v>
      </c>
      <c r="K429">
        <v>948375</v>
      </c>
      <c r="L429">
        <v>87250.5</v>
      </c>
      <c r="M429" s="4">
        <v>41821</v>
      </c>
      <c r="N429">
        <v>7</v>
      </c>
      <c r="O429" t="s">
        <v>27</v>
      </c>
      <c r="P429" t="s">
        <v>15</v>
      </c>
      <c r="Q429" s="9">
        <f t="shared" si="18"/>
        <v>8.4249084249084255E-2</v>
      </c>
      <c r="R429" s="9">
        <f t="shared" si="19"/>
        <v>0.91575091575091572</v>
      </c>
      <c r="V429" t="str">
        <f t="shared" si="20"/>
        <v>Under Review</v>
      </c>
    </row>
    <row r="430" spans="1:22" x14ac:dyDescent="0.25">
      <c r="A430" t="s">
        <v>10</v>
      </c>
      <c r="B430" t="s">
        <v>19</v>
      </c>
      <c r="C430" t="s">
        <v>41</v>
      </c>
      <c r="D430" t="s">
        <v>47</v>
      </c>
      <c r="E430">
        <v>1307</v>
      </c>
      <c r="F430">
        <v>120</v>
      </c>
      <c r="G430">
        <v>350</v>
      </c>
      <c r="H430">
        <v>457450</v>
      </c>
      <c r="I430">
        <v>41170.5</v>
      </c>
      <c r="J430">
        <v>416279.5</v>
      </c>
      <c r="K430">
        <v>339820</v>
      </c>
      <c r="L430">
        <v>76459.5</v>
      </c>
      <c r="M430" s="4">
        <v>41821</v>
      </c>
      <c r="N430">
        <v>7</v>
      </c>
      <c r="O430" t="s">
        <v>27</v>
      </c>
      <c r="P430" t="s">
        <v>15</v>
      </c>
      <c r="Q430" s="9">
        <f t="shared" si="18"/>
        <v>0.18367346938775511</v>
      </c>
      <c r="R430" s="9">
        <f t="shared" si="19"/>
        <v>0.81632653061224492</v>
      </c>
      <c r="V430" t="str">
        <f t="shared" si="20"/>
        <v>Good Performance</v>
      </c>
    </row>
    <row r="431" spans="1:22" x14ac:dyDescent="0.25">
      <c r="A431" t="s">
        <v>9</v>
      </c>
      <c r="B431" t="s">
        <v>16</v>
      </c>
      <c r="C431" t="s">
        <v>41</v>
      </c>
      <c r="D431" t="s">
        <v>47</v>
      </c>
      <c r="E431">
        <v>567</v>
      </c>
      <c r="F431">
        <v>120</v>
      </c>
      <c r="G431">
        <v>125</v>
      </c>
      <c r="H431">
        <v>70875</v>
      </c>
      <c r="I431">
        <v>6378.75</v>
      </c>
      <c r="J431">
        <v>64496.25</v>
      </c>
      <c r="K431">
        <v>68040</v>
      </c>
      <c r="L431">
        <v>-3543.75</v>
      </c>
      <c r="M431" s="4">
        <v>41883</v>
      </c>
      <c r="N431">
        <v>9</v>
      </c>
      <c r="O431" t="s">
        <v>29</v>
      </c>
      <c r="P431" t="s">
        <v>15</v>
      </c>
      <c r="Q431" s="9">
        <f t="shared" si="18"/>
        <v>-5.4945054945054944E-2</v>
      </c>
      <c r="R431" s="9">
        <f t="shared" si="19"/>
        <v>1.054945054945055</v>
      </c>
      <c r="V431" t="str">
        <f t="shared" si="20"/>
        <v>Under Review</v>
      </c>
    </row>
    <row r="432" spans="1:22" x14ac:dyDescent="0.25">
      <c r="A432" t="s">
        <v>9</v>
      </c>
      <c r="B432" t="s">
        <v>20</v>
      </c>
      <c r="C432" t="s">
        <v>41</v>
      </c>
      <c r="D432" t="s">
        <v>47</v>
      </c>
      <c r="E432">
        <v>2110</v>
      </c>
      <c r="F432">
        <v>120</v>
      </c>
      <c r="G432">
        <v>125</v>
      </c>
      <c r="H432">
        <v>263750</v>
      </c>
      <c r="I432">
        <v>23737.5</v>
      </c>
      <c r="J432">
        <v>240012.5</v>
      </c>
      <c r="K432">
        <v>253200</v>
      </c>
      <c r="L432">
        <v>-13187.5</v>
      </c>
      <c r="M432" s="4">
        <v>41883</v>
      </c>
      <c r="N432">
        <v>9</v>
      </c>
      <c r="O432" t="s">
        <v>29</v>
      </c>
      <c r="P432" t="s">
        <v>15</v>
      </c>
      <c r="Q432" s="9">
        <f t="shared" si="18"/>
        <v>-5.4945054945054944E-2</v>
      </c>
      <c r="R432" s="9">
        <f t="shared" si="19"/>
        <v>1.054945054945055</v>
      </c>
      <c r="V432" t="str">
        <f t="shared" si="20"/>
        <v>Under Review</v>
      </c>
    </row>
    <row r="433" spans="1:22" x14ac:dyDescent="0.25">
      <c r="A433" t="s">
        <v>10</v>
      </c>
      <c r="B433" t="s">
        <v>16</v>
      </c>
      <c r="C433" t="s">
        <v>41</v>
      </c>
      <c r="D433" t="s">
        <v>47</v>
      </c>
      <c r="E433">
        <v>1269</v>
      </c>
      <c r="F433">
        <v>120</v>
      </c>
      <c r="G433">
        <v>350</v>
      </c>
      <c r="H433">
        <v>444150</v>
      </c>
      <c r="I433">
        <v>39973.5</v>
      </c>
      <c r="J433">
        <v>404176.5</v>
      </c>
      <c r="K433">
        <v>329940</v>
      </c>
      <c r="L433">
        <v>74236.5</v>
      </c>
      <c r="M433" s="4">
        <v>41913</v>
      </c>
      <c r="N433">
        <v>10</v>
      </c>
      <c r="O433" t="s">
        <v>30</v>
      </c>
      <c r="P433" t="s">
        <v>15</v>
      </c>
      <c r="Q433" s="9">
        <f t="shared" si="18"/>
        <v>0.18367346938775511</v>
      </c>
      <c r="R433" s="9">
        <f t="shared" si="19"/>
        <v>0.81632653061224492</v>
      </c>
      <c r="V433" t="str">
        <f t="shared" si="20"/>
        <v>Good Performance</v>
      </c>
    </row>
    <row r="434" spans="1:22" x14ac:dyDescent="0.25">
      <c r="A434" t="s">
        <v>11</v>
      </c>
      <c r="B434" t="s">
        <v>17</v>
      </c>
      <c r="C434" t="s">
        <v>42</v>
      </c>
      <c r="D434" t="s">
        <v>47</v>
      </c>
      <c r="E434">
        <v>1956</v>
      </c>
      <c r="F434">
        <v>250</v>
      </c>
      <c r="G434">
        <v>12</v>
      </c>
      <c r="H434">
        <v>23472</v>
      </c>
      <c r="I434">
        <v>2112.48</v>
      </c>
      <c r="J434">
        <v>21359.52</v>
      </c>
      <c r="K434">
        <v>5868</v>
      </c>
      <c r="L434">
        <v>15491.52</v>
      </c>
      <c r="M434" s="4">
        <v>41640</v>
      </c>
      <c r="N434">
        <v>1</v>
      </c>
      <c r="O434" t="s">
        <v>21</v>
      </c>
      <c r="P434" t="s">
        <v>15</v>
      </c>
      <c r="Q434" s="9">
        <f t="shared" si="18"/>
        <v>0.72527472527472525</v>
      </c>
      <c r="R434" s="9">
        <f t="shared" si="19"/>
        <v>0.27472527472527469</v>
      </c>
      <c r="V434" t="str">
        <f t="shared" si="20"/>
        <v>Good Performance</v>
      </c>
    </row>
    <row r="435" spans="1:22" x14ac:dyDescent="0.25">
      <c r="A435" t="s">
        <v>7</v>
      </c>
      <c r="B435" t="s">
        <v>19</v>
      </c>
      <c r="C435" t="s">
        <v>42</v>
      </c>
      <c r="D435" t="s">
        <v>47</v>
      </c>
      <c r="E435">
        <v>2659</v>
      </c>
      <c r="F435">
        <v>250</v>
      </c>
      <c r="G435">
        <v>300</v>
      </c>
      <c r="H435">
        <v>797700</v>
      </c>
      <c r="I435">
        <v>71793</v>
      </c>
      <c r="J435">
        <v>725907</v>
      </c>
      <c r="K435">
        <v>664750</v>
      </c>
      <c r="L435">
        <v>61157</v>
      </c>
      <c r="M435" s="4">
        <v>41671</v>
      </c>
      <c r="N435">
        <v>2</v>
      </c>
      <c r="O435" t="s">
        <v>22</v>
      </c>
      <c r="P435" t="s">
        <v>15</v>
      </c>
      <c r="Q435" s="9">
        <f t="shared" si="18"/>
        <v>8.4249084249084255E-2</v>
      </c>
      <c r="R435" s="9">
        <f t="shared" si="19"/>
        <v>0.91575091575091572</v>
      </c>
      <c r="V435" t="str">
        <f t="shared" si="20"/>
        <v>Under Review</v>
      </c>
    </row>
    <row r="436" spans="1:22" x14ac:dyDescent="0.25">
      <c r="A436" t="s">
        <v>10</v>
      </c>
      <c r="B436" t="s">
        <v>17</v>
      </c>
      <c r="C436" t="s">
        <v>42</v>
      </c>
      <c r="D436" t="s">
        <v>47</v>
      </c>
      <c r="E436">
        <v>1351.5</v>
      </c>
      <c r="F436">
        <v>250</v>
      </c>
      <c r="G436">
        <v>350</v>
      </c>
      <c r="H436">
        <v>473025</v>
      </c>
      <c r="I436">
        <v>42572.25</v>
      </c>
      <c r="J436">
        <v>430452.75</v>
      </c>
      <c r="K436">
        <v>351390</v>
      </c>
      <c r="L436">
        <v>79062.75</v>
      </c>
      <c r="M436" s="4">
        <v>41730</v>
      </c>
      <c r="N436">
        <v>4</v>
      </c>
      <c r="O436" t="s">
        <v>24</v>
      </c>
      <c r="P436" t="s">
        <v>15</v>
      </c>
      <c r="Q436" s="9">
        <f t="shared" si="18"/>
        <v>0.18367346938775511</v>
      </c>
      <c r="R436" s="9">
        <f t="shared" si="19"/>
        <v>0.81632653061224492</v>
      </c>
      <c r="V436" t="str">
        <f t="shared" si="20"/>
        <v>Good Performance</v>
      </c>
    </row>
    <row r="437" spans="1:22" x14ac:dyDescent="0.25">
      <c r="A437" t="s">
        <v>11</v>
      </c>
      <c r="B437" t="s">
        <v>19</v>
      </c>
      <c r="C437" t="s">
        <v>42</v>
      </c>
      <c r="D437" t="s">
        <v>47</v>
      </c>
      <c r="E437">
        <v>880</v>
      </c>
      <c r="F437">
        <v>250</v>
      </c>
      <c r="G437">
        <v>12</v>
      </c>
      <c r="H437">
        <v>10560</v>
      </c>
      <c r="I437">
        <v>950.4</v>
      </c>
      <c r="J437">
        <v>9609.6</v>
      </c>
      <c r="K437">
        <v>2640</v>
      </c>
      <c r="L437">
        <v>6969.6</v>
      </c>
      <c r="M437" s="4">
        <v>41760</v>
      </c>
      <c r="N437">
        <v>5</v>
      </c>
      <c r="O437" t="s">
        <v>25</v>
      </c>
      <c r="P437" t="s">
        <v>15</v>
      </c>
      <c r="Q437" s="9">
        <f t="shared" si="18"/>
        <v>0.72527472527472525</v>
      </c>
      <c r="R437" s="9">
        <f t="shared" si="19"/>
        <v>0.27472527472527469</v>
      </c>
      <c r="V437" t="str">
        <f t="shared" si="20"/>
        <v>Good Performance</v>
      </c>
    </row>
    <row r="438" spans="1:22" x14ac:dyDescent="0.25">
      <c r="A438" t="s">
        <v>7</v>
      </c>
      <c r="B438" t="s">
        <v>17</v>
      </c>
      <c r="C438" t="s">
        <v>42</v>
      </c>
      <c r="D438" t="s">
        <v>47</v>
      </c>
      <c r="E438">
        <v>1867</v>
      </c>
      <c r="F438">
        <v>250</v>
      </c>
      <c r="G438">
        <v>300</v>
      </c>
      <c r="H438">
        <v>560100</v>
      </c>
      <c r="I438">
        <v>50409</v>
      </c>
      <c r="J438">
        <v>509691</v>
      </c>
      <c r="K438">
        <v>466750</v>
      </c>
      <c r="L438">
        <v>42941</v>
      </c>
      <c r="M438" s="4">
        <v>41883</v>
      </c>
      <c r="N438">
        <v>9</v>
      </c>
      <c r="O438" t="s">
        <v>29</v>
      </c>
      <c r="P438" t="s">
        <v>15</v>
      </c>
      <c r="Q438" s="9">
        <f t="shared" si="18"/>
        <v>8.4249084249084255E-2</v>
      </c>
      <c r="R438" s="9">
        <f t="shared" si="19"/>
        <v>0.91575091575091572</v>
      </c>
      <c r="V438" t="str">
        <f t="shared" si="20"/>
        <v>Under Review</v>
      </c>
    </row>
    <row r="439" spans="1:22" x14ac:dyDescent="0.25">
      <c r="A439" t="s">
        <v>11</v>
      </c>
      <c r="B439" t="s">
        <v>18</v>
      </c>
      <c r="C439" t="s">
        <v>42</v>
      </c>
      <c r="D439" t="s">
        <v>47</v>
      </c>
      <c r="E439">
        <v>2234</v>
      </c>
      <c r="F439">
        <v>250</v>
      </c>
      <c r="G439">
        <v>12</v>
      </c>
      <c r="H439">
        <v>26808</v>
      </c>
      <c r="I439">
        <v>2412.7199999999998</v>
      </c>
      <c r="J439">
        <v>24395.279999999999</v>
      </c>
      <c r="K439">
        <v>6702</v>
      </c>
      <c r="L439">
        <v>17693.28</v>
      </c>
      <c r="M439" s="4">
        <v>41518</v>
      </c>
      <c r="N439">
        <v>9</v>
      </c>
      <c r="O439" t="s">
        <v>29</v>
      </c>
      <c r="P439" t="s">
        <v>14</v>
      </c>
      <c r="Q439" s="9">
        <f t="shared" si="18"/>
        <v>0.72527472527472525</v>
      </c>
      <c r="R439" s="9">
        <f t="shared" si="19"/>
        <v>0.27472527472527475</v>
      </c>
      <c r="V439" t="str">
        <f t="shared" si="20"/>
        <v>Good Performance</v>
      </c>
    </row>
    <row r="440" spans="1:22" x14ac:dyDescent="0.25">
      <c r="A440" t="s">
        <v>8</v>
      </c>
      <c r="B440" t="s">
        <v>18</v>
      </c>
      <c r="C440" t="s">
        <v>42</v>
      </c>
      <c r="D440" t="s">
        <v>47</v>
      </c>
      <c r="E440">
        <v>1227</v>
      </c>
      <c r="F440">
        <v>250</v>
      </c>
      <c r="G440">
        <v>15</v>
      </c>
      <c r="H440">
        <v>18405</v>
      </c>
      <c r="I440">
        <v>1656.45</v>
      </c>
      <c r="J440">
        <v>16748.55</v>
      </c>
      <c r="K440">
        <v>12270</v>
      </c>
      <c r="L440">
        <v>4478.5499999999993</v>
      </c>
      <c r="M440" s="4">
        <v>41913</v>
      </c>
      <c r="N440">
        <v>10</v>
      </c>
      <c r="O440" t="s">
        <v>30</v>
      </c>
      <c r="P440" t="s">
        <v>15</v>
      </c>
      <c r="Q440" s="9">
        <f t="shared" si="18"/>
        <v>0.26739926739926739</v>
      </c>
      <c r="R440" s="9">
        <f t="shared" si="19"/>
        <v>0.73260073260073266</v>
      </c>
      <c r="V440" t="str">
        <f t="shared" si="20"/>
        <v>Good Performance</v>
      </c>
    </row>
    <row r="441" spans="1:22" x14ac:dyDescent="0.25">
      <c r="A441" t="s">
        <v>9</v>
      </c>
      <c r="B441" t="s">
        <v>20</v>
      </c>
      <c r="C441" t="s">
        <v>42</v>
      </c>
      <c r="D441" t="s">
        <v>47</v>
      </c>
      <c r="E441">
        <v>877</v>
      </c>
      <c r="F441">
        <v>250</v>
      </c>
      <c r="G441">
        <v>125</v>
      </c>
      <c r="H441">
        <v>109625</v>
      </c>
      <c r="I441">
        <v>9866.25</v>
      </c>
      <c r="J441">
        <v>99758.75</v>
      </c>
      <c r="K441">
        <v>105240</v>
      </c>
      <c r="L441">
        <v>-5481.25</v>
      </c>
      <c r="M441" s="4">
        <v>41944</v>
      </c>
      <c r="N441">
        <v>11</v>
      </c>
      <c r="O441" t="s">
        <v>31</v>
      </c>
      <c r="P441" t="s">
        <v>15</v>
      </c>
      <c r="Q441" s="9">
        <f t="shared" si="18"/>
        <v>-5.4945054945054944E-2</v>
      </c>
      <c r="R441" s="9">
        <f t="shared" si="19"/>
        <v>1.054945054945055</v>
      </c>
      <c r="V441" t="str">
        <f t="shared" si="20"/>
        <v>Under Review</v>
      </c>
    </row>
    <row r="442" spans="1:22" x14ac:dyDescent="0.25">
      <c r="A442" t="s">
        <v>10</v>
      </c>
      <c r="B442" t="s">
        <v>17</v>
      </c>
      <c r="C442" t="s">
        <v>43</v>
      </c>
      <c r="D442" t="s">
        <v>47</v>
      </c>
      <c r="E442">
        <v>2071</v>
      </c>
      <c r="F442">
        <v>260</v>
      </c>
      <c r="G442">
        <v>350</v>
      </c>
      <c r="H442">
        <v>724850</v>
      </c>
      <c r="I442">
        <v>65236.5</v>
      </c>
      <c r="J442">
        <v>659613.5</v>
      </c>
      <c r="K442">
        <v>538460</v>
      </c>
      <c r="L442">
        <v>121153.5</v>
      </c>
      <c r="M442" s="4">
        <v>41883</v>
      </c>
      <c r="N442">
        <v>9</v>
      </c>
      <c r="O442" t="s">
        <v>29</v>
      </c>
      <c r="P442" t="s">
        <v>15</v>
      </c>
      <c r="Q442" s="9">
        <f t="shared" si="18"/>
        <v>0.18367346938775511</v>
      </c>
      <c r="R442" s="9">
        <f t="shared" si="19"/>
        <v>0.81632653061224492</v>
      </c>
      <c r="V442" t="str">
        <f t="shared" si="20"/>
        <v>Good Performance</v>
      </c>
    </row>
    <row r="443" spans="1:22" x14ac:dyDescent="0.25">
      <c r="A443" t="s">
        <v>10</v>
      </c>
      <c r="B443" t="s">
        <v>16</v>
      </c>
      <c r="C443" t="s">
        <v>43</v>
      </c>
      <c r="D443" t="s">
        <v>47</v>
      </c>
      <c r="E443">
        <v>1269</v>
      </c>
      <c r="F443">
        <v>260</v>
      </c>
      <c r="G443">
        <v>350</v>
      </c>
      <c r="H443">
        <v>444150</v>
      </c>
      <c r="I443">
        <v>39973.5</v>
      </c>
      <c r="J443">
        <v>404176.5</v>
      </c>
      <c r="K443">
        <v>329940</v>
      </c>
      <c r="L443">
        <v>74236.5</v>
      </c>
      <c r="M443" s="4">
        <v>41913</v>
      </c>
      <c r="N443">
        <v>10</v>
      </c>
      <c r="O443" t="s">
        <v>30</v>
      </c>
      <c r="P443" t="s">
        <v>15</v>
      </c>
      <c r="Q443" s="9">
        <f t="shared" si="18"/>
        <v>0.18367346938775511</v>
      </c>
      <c r="R443" s="9">
        <f t="shared" si="19"/>
        <v>0.81632653061224492</v>
      </c>
      <c r="V443" t="str">
        <f t="shared" si="20"/>
        <v>Good Performance</v>
      </c>
    </row>
    <row r="444" spans="1:22" x14ac:dyDescent="0.25">
      <c r="A444" t="s">
        <v>8</v>
      </c>
      <c r="B444" t="s">
        <v>19</v>
      </c>
      <c r="C444" t="s">
        <v>43</v>
      </c>
      <c r="D444" t="s">
        <v>47</v>
      </c>
      <c r="E444">
        <v>970</v>
      </c>
      <c r="F444">
        <v>260</v>
      </c>
      <c r="G444">
        <v>15</v>
      </c>
      <c r="H444">
        <v>14550</v>
      </c>
      <c r="I444">
        <v>1309.5</v>
      </c>
      <c r="J444">
        <v>13240.5</v>
      </c>
      <c r="K444">
        <v>9700</v>
      </c>
      <c r="L444">
        <v>3540.5</v>
      </c>
      <c r="M444" s="4">
        <v>41579</v>
      </c>
      <c r="N444">
        <v>11</v>
      </c>
      <c r="O444" t="s">
        <v>31</v>
      </c>
      <c r="P444" t="s">
        <v>14</v>
      </c>
      <c r="Q444" s="9">
        <f t="shared" si="18"/>
        <v>0.26739926739926739</v>
      </c>
      <c r="R444" s="9">
        <f t="shared" si="19"/>
        <v>0.73260073260073255</v>
      </c>
      <c r="V444" t="str">
        <f t="shared" si="20"/>
        <v>Good Performance</v>
      </c>
    </row>
    <row r="445" spans="1:22" x14ac:dyDescent="0.25">
      <c r="A445" t="s">
        <v>10</v>
      </c>
      <c r="B445" t="s">
        <v>20</v>
      </c>
      <c r="C445" t="s">
        <v>43</v>
      </c>
      <c r="D445" t="s">
        <v>47</v>
      </c>
      <c r="E445">
        <v>1694</v>
      </c>
      <c r="F445">
        <v>260</v>
      </c>
      <c r="G445">
        <v>20</v>
      </c>
      <c r="H445">
        <v>33880</v>
      </c>
      <c r="I445">
        <v>3049.2</v>
      </c>
      <c r="J445">
        <v>30830.799999999999</v>
      </c>
      <c r="K445">
        <v>16940</v>
      </c>
      <c r="L445">
        <v>13890.8</v>
      </c>
      <c r="M445" s="4">
        <v>41944</v>
      </c>
      <c r="N445">
        <v>11</v>
      </c>
      <c r="O445" t="s">
        <v>31</v>
      </c>
      <c r="P445" t="s">
        <v>15</v>
      </c>
      <c r="Q445" s="9">
        <f t="shared" si="18"/>
        <v>0.45054945054945056</v>
      </c>
      <c r="R445" s="9">
        <f t="shared" si="19"/>
        <v>0.5494505494505495</v>
      </c>
      <c r="V445" t="str">
        <f t="shared" si="20"/>
        <v>Good Performance</v>
      </c>
    </row>
    <row r="446" spans="1:22" x14ac:dyDescent="0.25">
      <c r="A446" t="s">
        <v>10</v>
      </c>
      <c r="B446" t="s">
        <v>19</v>
      </c>
      <c r="C446" t="s">
        <v>38</v>
      </c>
      <c r="D446" t="s">
        <v>47</v>
      </c>
      <c r="E446">
        <v>663</v>
      </c>
      <c r="F446">
        <v>3</v>
      </c>
      <c r="G446">
        <v>20</v>
      </c>
      <c r="H446">
        <v>13260</v>
      </c>
      <c r="I446">
        <v>1193.4000000000001</v>
      </c>
      <c r="J446">
        <v>12066.6</v>
      </c>
      <c r="K446">
        <v>6630</v>
      </c>
      <c r="L446">
        <v>5436.6</v>
      </c>
      <c r="M446" s="4">
        <v>41760</v>
      </c>
      <c r="N446">
        <v>5</v>
      </c>
      <c r="O446" t="s">
        <v>25</v>
      </c>
      <c r="P446" t="s">
        <v>15</v>
      </c>
      <c r="Q446" s="9">
        <f t="shared" si="18"/>
        <v>0.45054945054945056</v>
      </c>
      <c r="R446" s="9">
        <f t="shared" si="19"/>
        <v>0.54945054945054939</v>
      </c>
      <c r="V446" t="str">
        <f t="shared" si="20"/>
        <v>Good Performance</v>
      </c>
    </row>
    <row r="447" spans="1:22" x14ac:dyDescent="0.25">
      <c r="A447" t="s">
        <v>10</v>
      </c>
      <c r="B447" t="s">
        <v>16</v>
      </c>
      <c r="C447" t="s">
        <v>38</v>
      </c>
      <c r="D447" t="s">
        <v>47</v>
      </c>
      <c r="E447">
        <v>819</v>
      </c>
      <c r="F447">
        <v>3</v>
      </c>
      <c r="G447">
        <v>7</v>
      </c>
      <c r="H447">
        <v>5733</v>
      </c>
      <c r="I447">
        <v>515.97</v>
      </c>
      <c r="J447">
        <v>5217.03</v>
      </c>
      <c r="K447">
        <v>4095</v>
      </c>
      <c r="L447">
        <v>1122.03</v>
      </c>
      <c r="M447" s="4">
        <v>41821</v>
      </c>
      <c r="N447">
        <v>7</v>
      </c>
      <c r="O447" t="s">
        <v>27</v>
      </c>
      <c r="P447" t="s">
        <v>15</v>
      </c>
      <c r="Q447" s="9">
        <f t="shared" si="18"/>
        <v>0.21507064364207221</v>
      </c>
      <c r="R447" s="9">
        <f t="shared" si="19"/>
        <v>0.78492935635792782</v>
      </c>
      <c r="V447" t="str">
        <f t="shared" si="20"/>
        <v>Good Performance</v>
      </c>
    </row>
    <row r="448" spans="1:22" x14ac:dyDescent="0.25">
      <c r="A448" t="s">
        <v>11</v>
      </c>
      <c r="B448" t="s">
        <v>19</v>
      </c>
      <c r="C448" t="s">
        <v>38</v>
      </c>
      <c r="D448" t="s">
        <v>47</v>
      </c>
      <c r="E448">
        <v>1580</v>
      </c>
      <c r="F448">
        <v>3</v>
      </c>
      <c r="G448">
        <v>12</v>
      </c>
      <c r="H448">
        <v>18960</v>
      </c>
      <c r="I448">
        <v>1706.4</v>
      </c>
      <c r="J448">
        <v>17253.599999999999</v>
      </c>
      <c r="K448">
        <v>4740</v>
      </c>
      <c r="L448">
        <v>12513.599999999999</v>
      </c>
      <c r="M448" s="4">
        <v>41883</v>
      </c>
      <c r="N448">
        <v>9</v>
      </c>
      <c r="O448" t="s">
        <v>29</v>
      </c>
      <c r="P448" t="s">
        <v>15</v>
      </c>
      <c r="Q448" s="9">
        <f t="shared" si="18"/>
        <v>0.72527472527472525</v>
      </c>
      <c r="R448" s="9">
        <f t="shared" si="19"/>
        <v>0.27472527472527475</v>
      </c>
      <c r="V448" t="str">
        <f t="shared" si="20"/>
        <v>Good Performance</v>
      </c>
    </row>
    <row r="449" spans="1:22" x14ac:dyDescent="0.25">
      <c r="A449" t="s">
        <v>10</v>
      </c>
      <c r="B449" t="s">
        <v>20</v>
      </c>
      <c r="C449" t="s">
        <v>38</v>
      </c>
      <c r="D449" t="s">
        <v>47</v>
      </c>
      <c r="E449">
        <v>521</v>
      </c>
      <c r="F449">
        <v>3</v>
      </c>
      <c r="G449">
        <v>7</v>
      </c>
      <c r="H449">
        <v>3647</v>
      </c>
      <c r="I449">
        <v>328.23</v>
      </c>
      <c r="J449">
        <v>3318.77</v>
      </c>
      <c r="K449">
        <v>2605</v>
      </c>
      <c r="L449">
        <v>713.77</v>
      </c>
      <c r="M449" s="4">
        <v>41974</v>
      </c>
      <c r="N449">
        <v>12</v>
      </c>
      <c r="O449" t="s">
        <v>32</v>
      </c>
      <c r="P449" t="s">
        <v>15</v>
      </c>
      <c r="Q449" s="9">
        <f t="shared" si="18"/>
        <v>0.21507064364207221</v>
      </c>
      <c r="R449" s="9">
        <f t="shared" si="19"/>
        <v>0.78492935635792782</v>
      </c>
      <c r="V449" t="str">
        <f t="shared" si="20"/>
        <v>Good Performance</v>
      </c>
    </row>
    <row r="450" spans="1:22" x14ac:dyDescent="0.25">
      <c r="A450" t="s">
        <v>10</v>
      </c>
      <c r="B450" t="s">
        <v>17</v>
      </c>
      <c r="C450" t="s">
        <v>40</v>
      </c>
      <c r="D450" t="s">
        <v>47</v>
      </c>
      <c r="E450">
        <v>973</v>
      </c>
      <c r="F450">
        <v>10</v>
      </c>
      <c r="G450">
        <v>20</v>
      </c>
      <c r="H450">
        <v>19460</v>
      </c>
      <c r="I450">
        <v>1751.4</v>
      </c>
      <c r="J450">
        <v>17708.599999999999</v>
      </c>
      <c r="K450">
        <v>9730</v>
      </c>
      <c r="L450">
        <v>7978.5999999999985</v>
      </c>
      <c r="M450" s="4">
        <v>41699</v>
      </c>
      <c r="N450">
        <v>3</v>
      </c>
      <c r="O450" t="s">
        <v>23</v>
      </c>
      <c r="P450" t="s">
        <v>15</v>
      </c>
      <c r="Q450" s="9">
        <f t="shared" si="18"/>
        <v>0.4505494505494505</v>
      </c>
      <c r="R450" s="9">
        <f t="shared" si="19"/>
        <v>0.5494505494505495</v>
      </c>
      <c r="V450" t="str">
        <f t="shared" si="20"/>
        <v>Good Performance</v>
      </c>
    </row>
    <row r="451" spans="1:22" x14ac:dyDescent="0.25">
      <c r="A451" t="s">
        <v>10</v>
      </c>
      <c r="B451" t="s">
        <v>20</v>
      </c>
      <c r="C451" t="s">
        <v>40</v>
      </c>
      <c r="D451" t="s">
        <v>47</v>
      </c>
      <c r="E451">
        <v>1038</v>
      </c>
      <c r="F451">
        <v>10</v>
      </c>
      <c r="G451">
        <v>20</v>
      </c>
      <c r="H451">
        <v>20760</v>
      </c>
      <c r="I451">
        <v>1868.4</v>
      </c>
      <c r="J451">
        <v>18891.599999999999</v>
      </c>
      <c r="K451">
        <v>10380</v>
      </c>
      <c r="L451">
        <v>8511.5999999999985</v>
      </c>
      <c r="M451" s="4">
        <v>41791</v>
      </c>
      <c r="N451">
        <v>6</v>
      </c>
      <c r="O451" t="s">
        <v>26</v>
      </c>
      <c r="P451" t="s">
        <v>15</v>
      </c>
      <c r="Q451" s="9">
        <f t="shared" ref="Q451:Q514" si="21">L451/J451</f>
        <v>0.4505494505494505</v>
      </c>
      <c r="R451" s="9">
        <f t="shared" ref="R451:R514" si="22">K451/J451</f>
        <v>0.5494505494505495</v>
      </c>
      <c r="V451" t="str">
        <f t="shared" ref="V451:V514" si="23">IF(Q451&lt;0.1, "Under Review", "Good Performance")</f>
        <v>Good Performance</v>
      </c>
    </row>
    <row r="452" spans="1:22" x14ac:dyDescent="0.25">
      <c r="A452" t="s">
        <v>10</v>
      </c>
      <c r="B452" t="s">
        <v>19</v>
      </c>
      <c r="C452" t="s">
        <v>40</v>
      </c>
      <c r="D452" t="s">
        <v>47</v>
      </c>
      <c r="E452">
        <v>360</v>
      </c>
      <c r="F452">
        <v>10</v>
      </c>
      <c r="G452">
        <v>7</v>
      </c>
      <c r="H452">
        <v>2520</v>
      </c>
      <c r="I452">
        <v>226.8</v>
      </c>
      <c r="J452">
        <v>2293.1999999999998</v>
      </c>
      <c r="K452">
        <v>1800</v>
      </c>
      <c r="L452">
        <v>493.19999999999982</v>
      </c>
      <c r="M452" s="4">
        <v>41913</v>
      </c>
      <c r="N452">
        <v>10</v>
      </c>
      <c r="O452" t="s">
        <v>30</v>
      </c>
      <c r="P452" t="s">
        <v>15</v>
      </c>
      <c r="Q452" s="9">
        <f t="shared" si="21"/>
        <v>0.21507064364207215</v>
      </c>
      <c r="R452" s="9">
        <f t="shared" si="22"/>
        <v>0.78492935635792782</v>
      </c>
      <c r="V452" t="str">
        <f t="shared" si="23"/>
        <v>Good Performance</v>
      </c>
    </row>
    <row r="453" spans="1:22" x14ac:dyDescent="0.25">
      <c r="A453" t="s">
        <v>11</v>
      </c>
      <c r="B453" t="s">
        <v>18</v>
      </c>
      <c r="C453" t="s">
        <v>41</v>
      </c>
      <c r="D453" t="s">
        <v>47</v>
      </c>
      <c r="E453">
        <v>1967</v>
      </c>
      <c r="F453">
        <v>120</v>
      </c>
      <c r="G453">
        <v>12</v>
      </c>
      <c r="H453">
        <v>23604</v>
      </c>
      <c r="I453">
        <v>2124.36</v>
      </c>
      <c r="J453">
        <v>21479.64</v>
      </c>
      <c r="K453">
        <v>5901</v>
      </c>
      <c r="L453">
        <v>15578.64</v>
      </c>
      <c r="M453" s="4">
        <v>41699</v>
      </c>
      <c r="N453">
        <v>3</v>
      </c>
      <c r="O453" t="s">
        <v>23</v>
      </c>
      <c r="P453" t="s">
        <v>15</v>
      </c>
      <c r="Q453" s="9">
        <f t="shared" si="21"/>
        <v>0.72527472527472525</v>
      </c>
      <c r="R453" s="9">
        <f t="shared" si="22"/>
        <v>0.27472527472527475</v>
      </c>
      <c r="V453" t="str">
        <f t="shared" si="23"/>
        <v>Good Performance</v>
      </c>
    </row>
    <row r="454" spans="1:22" x14ac:dyDescent="0.25">
      <c r="A454" t="s">
        <v>8</v>
      </c>
      <c r="B454" t="s">
        <v>20</v>
      </c>
      <c r="C454" t="s">
        <v>41</v>
      </c>
      <c r="D454" t="s">
        <v>47</v>
      </c>
      <c r="E454">
        <v>2628</v>
      </c>
      <c r="F454">
        <v>120</v>
      </c>
      <c r="G454">
        <v>15</v>
      </c>
      <c r="H454">
        <v>39420</v>
      </c>
      <c r="I454">
        <v>3547.8</v>
      </c>
      <c r="J454">
        <v>35872.199999999997</v>
      </c>
      <c r="K454">
        <v>26280</v>
      </c>
      <c r="L454">
        <v>9592.1999999999971</v>
      </c>
      <c r="M454" s="4">
        <v>41730</v>
      </c>
      <c r="N454">
        <v>4</v>
      </c>
      <c r="O454" t="s">
        <v>24</v>
      </c>
      <c r="P454" t="s">
        <v>15</v>
      </c>
      <c r="Q454" s="9">
        <f t="shared" si="21"/>
        <v>0.26739926739926734</v>
      </c>
      <c r="R454" s="9">
        <f t="shared" si="22"/>
        <v>0.73260073260073266</v>
      </c>
      <c r="V454" t="str">
        <f t="shared" si="23"/>
        <v>Good Performance</v>
      </c>
    </row>
    <row r="455" spans="1:22" x14ac:dyDescent="0.25">
      <c r="A455" t="s">
        <v>10</v>
      </c>
      <c r="B455" t="s">
        <v>19</v>
      </c>
      <c r="C455" t="s">
        <v>42</v>
      </c>
      <c r="D455" t="s">
        <v>47</v>
      </c>
      <c r="E455">
        <v>360</v>
      </c>
      <c r="F455">
        <v>250</v>
      </c>
      <c r="G455">
        <v>7</v>
      </c>
      <c r="H455">
        <v>2520</v>
      </c>
      <c r="I455">
        <v>226.8</v>
      </c>
      <c r="J455">
        <v>2293.1999999999998</v>
      </c>
      <c r="K455">
        <v>1800</v>
      </c>
      <c r="L455">
        <v>493.19999999999982</v>
      </c>
      <c r="M455" s="4">
        <v>41913</v>
      </c>
      <c r="N455">
        <v>10</v>
      </c>
      <c r="O455" t="s">
        <v>30</v>
      </c>
      <c r="P455" t="s">
        <v>15</v>
      </c>
      <c r="Q455" s="9">
        <f t="shared" si="21"/>
        <v>0.21507064364207215</v>
      </c>
      <c r="R455" s="9">
        <f t="shared" si="22"/>
        <v>0.78492935635792782</v>
      </c>
      <c r="V455" t="str">
        <f t="shared" si="23"/>
        <v>Good Performance</v>
      </c>
    </row>
    <row r="456" spans="1:22" x14ac:dyDescent="0.25">
      <c r="A456" t="s">
        <v>10</v>
      </c>
      <c r="B456" t="s">
        <v>18</v>
      </c>
      <c r="C456" t="s">
        <v>42</v>
      </c>
      <c r="D456" t="s">
        <v>47</v>
      </c>
      <c r="E456">
        <v>2682</v>
      </c>
      <c r="F456">
        <v>250</v>
      </c>
      <c r="G456">
        <v>20</v>
      </c>
      <c r="H456">
        <v>53640</v>
      </c>
      <c r="I456">
        <v>4827.6000000000004</v>
      </c>
      <c r="J456">
        <v>48812.4</v>
      </c>
      <c r="K456">
        <v>26820</v>
      </c>
      <c r="L456">
        <v>21992.400000000001</v>
      </c>
      <c r="M456" s="4">
        <v>41579</v>
      </c>
      <c r="N456">
        <v>11</v>
      </c>
      <c r="O456" t="s">
        <v>31</v>
      </c>
      <c r="P456" t="s">
        <v>14</v>
      </c>
      <c r="Q456" s="9">
        <f t="shared" si="21"/>
        <v>0.45054945054945056</v>
      </c>
      <c r="R456" s="9">
        <f t="shared" si="22"/>
        <v>0.54945054945054939</v>
      </c>
      <c r="V456" t="str">
        <f t="shared" si="23"/>
        <v>Good Performance</v>
      </c>
    </row>
    <row r="457" spans="1:22" x14ac:dyDescent="0.25">
      <c r="A457" t="s">
        <v>10</v>
      </c>
      <c r="B457" t="s">
        <v>20</v>
      </c>
      <c r="C457" t="s">
        <v>42</v>
      </c>
      <c r="D457" t="s">
        <v>47</v>
      </c>
      <c r="E457">
        <v>521</v>
      </c>
      <c r="F457">
        <v>250</v>
      </c>
      <c r="G457">
        <v>7</v>
      </c>
      <c r="H457">
        <v>3647</v>
      </c>
      <c r="I457">
        <v>328.23</v>
      </c>
      <c r="J457">
        <v>3318.77</v>
      </c>
      <c r="K457">
        <v>2605</v>
      </c>
      <c r="L457">
        <v>713.77</v>
      </c>
      <c r="M457" s="4">
        <v>41974</v>
      </c>
      <c r="N457">
        <v>12</v>
      </c>
      <c r="O457" t="s">
        <v>32</v>
      </c>
      <c r="P457" t="s">
        <v>15</v>
      </c>
      <c r="Q457" s="9">
        <f t="shared" si="21"/>
        <v>0.21507064364207221</v>
      </c>
      <c r="R457" s="9">
        <f t="shared" si="22"/>
        <v>0.78492935635792782</v>
      </c>
      <c r="V457" t="str">
        <f t="shared" si="23"/>
        <v>Good Performance</v>
      </c>
    </row>
    <row r="458" spans="1:22" x14ac:dyDescent="0.25">
      <c r="A458" t="s">
        <v>10</v>
      </c>
      <c r="B458" t="s">
        <v>20</v>
      </c>
      <c r="C458" t="s">
        <v>43</v>
      </c>
      <c r="D458" t="s">
        <v>47</v>
      </c>
      <c r="E458">
        <v>1038</v>
      </c>
      <c r="F458">
        <v>260</v>
      </c>
      <c r="G458">
        <v>20</v>
      </c>
      <c r="H458">
        <v>20760</v>
      </c>
      <c r="I458">
        <v>1868.4</v>
      </c>
      <c r="J458">
        <v>18891.599999999999</v>
      </c>
      <c r="K458">
        <v>10380</v>
      </c>
      <c r="L458">
        <v>8511.5999999999985</v>
      </c>
      <c r="M458" s="4">
        <v>41791</v>
      </c>
      <c r="N458">
        <v>6</v>
      </c>
      <c r="O458" t="s">
        <v>26</v>
      </c>
      <c r="P458" t="s">
        <v>15</v>
      </c>
      <c r="Q458" s="9">
        <f t="shared" si="21"/>
        <v>0.4505494505494505</v>
      </c>
      <c r="R458" s="9">
        <f t="shared" si="22"/>
        <v>0.5494505494505495</v>
      </c>
      <c r="V458" t="str">
        <f t="shared" si="23"/>
        <v>Good Performance</v>
      </c>
    </row>
    <row r="459" spans="1:22" x14ac:dyDescent="0.25">
      <c r="A459" t="s">
        <v>8</v>
      </c>
      <c r="B459" t="s">
        <v>16</v>
      </c>
      <c r="C459" t="s">
        <v>43</v>
      </c>
      <c r="D459" t="s">
        <v>47</v>
      </c>
      <c r="E459">
        <v>1630.5</v>
      </c>
      <c r="F459">
        <v>260</v>
      </c>
      <c r="G459">
        <v>15</v>
      </c>
      <c r="H459">
        <v>24457.5</v>
      </c>
      <c r="I459">
        <v>2201.1750000000002</v>
      </c>
      <c r="J459">
        <v>22256.324999999997</v>
      </c>
      <c r="K459">
        <v>16305</v>
      </c>
      <c r="L459">
        <v>5951.3249999999989</v>
      </c>
      <c r="M459" s="4">
        <v>41821</v>
      </c>
      <c r="N459">
        <v>7</v>
      </c>
      <c r="O459" t="s">
        <v>27</v>
      </c>
      <c r="P459" t="s">
        <v>15</v>
      </c>
      <c r="Q459" s="9">
        <f t="shared" si="21"/>
        <v>0.26739926739926739</v>
      </c>
      <c r="R459" s="9">
        <f t="shared" si="22"/>
        <v>0.73260073260073266</v>
      </c>
      <c r="V459" t="str">
        <f t="shared" si="23"/>
        <v>Good Performance</v>
      </c>
    </row>
    <row r="460" spans="1:22" x14ac:dyDescent="0.25">
      <c r="A460" t="s">
        <v>11</v>
      </c>
      <c r="B460" t="s">
        <v>18</v>
      </c>
      <c r="C460" t="s">
        <v>43</v>
      </c>
      <c r="D460" t="s">
        <v>47</v>
      </c>
      <c r="E460">
        <v>306</v>
      </c>
      <c r="F460">
        <v>260</v>
      </c>
      <c r="G460">
        <v>12</v>
      </c>
      <c r="H460">
        <v>3672</v>
      </c>
      <c r="I460">
        <v>330.48</v>
      </c>
      <c r="J460">
        <v>3341.52</v>
      </c>
      <c r="K460">
        <v>918</v>
      </c>
      <c r="L460">
        <v>2423.52</v>
      </c>
      <c r="M460" s="4">
        <v>41609</v>
      </c>
      <c r="N460">
        <v>12</v>
      </c>
      <c r="O460" t="s">
        <v>32</v>
      </c>
      <c r="P460" t="s">
        <v>14</v>
      </c>
      <c r="Q460" s="9">
        <f t="shared" si="21"/>
        <v>0.72527472527472525</v>
      </c>
      <c r="R460" s="9">
        <f t="shared" si="22"/>
        <v>0.27472527472527475</v>
      </c>
      <c r="V460" t="str">
        <f t="shared" si="23"/>
        <v>Good Performance</v>
      </c>
    </row>
    <row r="461" spans="1:22" x14ac:dyDescent="0.25">
      <c r="A461" t="s">
        <v>11</v>
      </c>
      <c r="B461" t="s">
        <v>17</v>
      </c>
      <c r="C461" t="s">
        <v>38</v>
      </c>
      <c r="D461" t="s">
        <v>48</v>
      </c>
      <c r="E461">
        <v>386</v>
      </c>
      <c r="F461">
        <v>3</v>
      </c>
      <c r="G461">
        <v>12</v>
      </c>
      <c r="H461">
        <v>4632</v>
      </c>
      <c r="I461">
        <v>463.2</v>
      </c>
      <c r="J461">
        <v>4168.8</v>
      </c>
      <c r="K461">
        <v>1158</v>
      </c>
      <c r="L461">
        <v>3010.8</v>
      </c>
      <c r="M461" s="4">
        <v>41548</v>
      </c>
      <c r="N461">
        <v>10</v>
      </c>
      <c r="O461" t="s">
        <v>30</v>
      </c>
      <c r="P461" t="s">
        <v>14</v>
      </c>
      <c r="Q461" s="9">
        <f t="shared" si="21"/>
        <v>0.72222222222222221</v>
      </c>
      <c r="R461" s="9">
        <f t="shared" si="22"/>
        <v>0.27777777777777779</v>
      </c>
      <c r="V461" t="str">
        <f t="shared" si="23"/>
        <v>Good Performance</v>
      </c>
    </row>
    <row r="462" spans="1:22" x14ac:dyDescent="0.25">
      <c r="A462" t="s">
        <v>10</v>
      </c>
      <c r="B462" t="s">
        <v>17</v>
      </c>
      <c r="C462" t="s">
        <v>39</v>
      </c>
      <c r="D462" t="s">
        <v>48</v>
      </c>
      <c r="E462">
        <v>2328</v>
      </c>
      <c r="F462">
        <v>5</v>
      </c>
      <c r="G462">
        <v>7</v>
      </c>
      <c r="H462">
        <v>16296</v>
      </c>
      <c r="I462">
        <v>1629.6</v>
      </c>
      <c r="J462">
        <v>14666.4</v>
      </c>
      <c r="K462">
        <v>11640</v>
      </c>
      <c r="L462">
        <v>3026.3999999999996</v>
      </c>
      <c r="M462" s="4">
        <v>41883</v>
      </c>
      <c r="N462">
        <v>9</v>
      </c>
      <c r="O462" t="s">
        <v>29</v>
      </c>
      <c r="P462" t="s">
        <v>15</v>
      </c>
      <c r="Q462" s="9">
        <f t="shared" si="21"/>
        <v>0.20634920634920634</v>
      </c>
      <c r="R462" s="9">
        <f t="shared" si="22"/>
        <v>0.79365079365079372</v>
      </c>
      <c r="V462" t="str">
        <f t="shared" si="23"/>
        <v>Good Performance</v>
      </c>
    </row>
    <row r="463" spans="1:22" x14ac:dyDescent="0.25">
      <c r="A463" t="s">
        <v>11</v>
      </c>
      <c r="B463" t="s">
        <v>17</v>
      </c>
      <c r="C463" t="s">
        <v>40</v>
      </c>
      <c r="D463" t="s">
        <v>48</v>
      </c>
      <c r="E463">
        <v>386</v>
      </c>
      <c r="F463">
        <v>10</v>
      </c>
      <c r="G463">
        <v>12</v>
      </c>
      <c r="H463">
        <v>4632</v>
      </c>
      <c r="I463">
        <v>463.2</v>
      </c>
      <c r="J463">
        <v>4168.8</v>
      </c>
      <c r="K463">
        <v>1158</v>
      </c>
      <c r="L463">
        <v>3010.8</v>
      </c>
      <c r="M463" s="4">
        <v>41548</v>
      </c>
      <c r="N463">
        <v>10</v>
      </c>
      <c r="O463" t="s">
        <v>30</v>
      </c>
      <c r="P463" t="s">
        <v>14</v>
      </c>
      <c r="Q463" s="9">
        <f t="shared" si="21"/>
        <v>0.72222222222222221</v>
      </c>
      <c r="R463" s="9">
        <f t="shared" si="22"/>
        <v>0.27777777777777779</v>
      </c>
      <c r="V463" t="str">
        <f t="shared" si="23"/>
        <v>Good Performance</v>
      </c>
    </row>
    <row r="464" spans="1:22" x14ac:dyDescent="0.25">
      <c r="A464" t="s">
        <v>9</v>
      </c>
      <c r="B464" t="s">
        <v>17</v>
      </c>
      <c r="C464" t="s">
        <v>38</v>
      </c>
      <c r="D464" t="s">
        <v>48</v>
      </c>
      <c r="E464">
        <v>3445.5</v>
      </c>
      <c r="F464">
        <v>3</v>
      </c>
      <c r="G464">
        <v>125</v>
      </c>
      <c r="H464">
        <v>430687.5</v>
      </c>
      <c r="I464">
        <v>43068.75</v>
      </c>
      <c r="J464">
        <v>387618.75</v>
      </c>
      <c r="K464">
        <v>413460</v>
      </c>
      <c r="L464">
        <v>-25841.25</v>
      </c>
      <c r="M464" s="4">
        <v>41730</v>
      </c>
      <c r="N464">
        <v>4</v>
      </c>
      <c r="O464" t="s">
        <v>24</v>
      </c>
      <c r="P464" t="s">
        <v>15</v>
      </c>
      <c r="Q464" s="9">
        <f t="shared" si="21"/>
        <v>-6.6666666666666666E-2</v>
      </c>
      <c r="R464" s="9">
        <f t="shared" si="22"/>
        <v>1.0666666666666667</v>
      </c>
      <c r="V464" t="str">
        <f t="shared" si="23"/>
        <v>Under Review</v>
      </c>
    </row>
    <row r="465" spans="1:22" x14ac:dyDescent="0.25">
      <c r="A465" t="s">
        <v>9</v>
      </c>
      <c r="B465" t="s">
        <v>18</v>
      </c>
      <c r="C465" t="s">
        <v>38</v>
      </c>
      <c r="D465" t="s">
        <v>48</v>
      </c>
      <c r="E465">
        <v>1482</v>
      </c>
      <c r="F465">
        <v>3</v>
      </c>
      <c r="G465">
        <v>125</v>
      </c>
      <c r="H465">
        <v>185250</v>
      </c>
      <c r="I465">
        <v>18525</v>
      </c>
      <c r="J465">
        <v>166725</v>
      </c>
      <c r="K465">
        <v>177840</v>
      </c>
      <c r="L465">
        <v>-11115</v>
      </c>
      <c r="M465" s="4">
        <v>41609</v>
      </c>
      <c r="N465">
        <v>12</v>
      </c>
      <c r="O465" t="s">
        <v>32</v>
      </c>
      <c r="P465" t="s">
        <v>14</v>
      </c>
      <c r="Q465" s="9">
        <f t="shared" si="21"/>
        <v>-6.6666666666666666E-2</v>
      </c>
      <c r="R465" s="9">
        <f t="shared" si="22"/>
        <v>1.0666666666666667</v>
      </c>
      <c r="V465" t="str">
        <f t="shared" si="23"/>
        <v>Under Review</v>
      </c>
    </row>
    <row r="466" spans="1:22" x14ac:dyDescent="0.25">
      <c r="A466" t="s">
        <v>10</v>
      </c>
      <c r="B466" t="s">
        <v>17</v>
      </c>
      <c r="C466" t="s">
        <v>39</v>
      </c>
      <c r="D466" t="s">
        <v>48</v>
      </c>
      <c r="E466">
        <v>2313</v>
      </c>
      <c r="F466">
        <v>5</v>
      </c>
      <c r="G466">
        <v>350</v>
      </c>
      <c r="H466">
        <v>809550</v>
      </c>
      <c r="I466">
        <v>80955</v>
      </c>
      <c r="J466">
        <v>728595</v>
      </c>
      <c r="K466">
        <v>601380</v>
      </c>
      <c r="L466">
        <v>127215</v>
      </c>
      <c r="M466" s="4">
        <v>41760</v>
      </c>
      <c r="N466">
        <v>5</v>
      </c>
      <c r="O466" t="s">
        <v>25</v>
      </c>
      <c r="P466" t="s">
        <v>15</v>
      </c>
      <c r="Q466" s="9">
        <f t="shared" si="21"/>
        <v>0.17460317460317459</v>
      </c>
      <c r="R466" s="9">
        <f t="shared" si="22"/>
        <v>0.82539682539682535</v>
      </c>
      <c r="V466" t="str">
        <f t="shared" si="23"/>
        <v>Good Performance</v>
      </c>
    </row>
    <row r="467" spans="1:22" x14ac:dyDescent="0.25">
      <c r="A467" t="s">
        <v>9</v>
      </c>
      <c r="B467" t="s">
        <v>17</v>
      </c>
      <c r="C467" t="s">
        <v>39</v>
      </c>
      <c r="D467" t="s">
        <v>48</v>
      </c>
      <c r="E467">
        <v>1804</v>
      </c>
      <c r="F467">
        <v>5</v>
      </c>
      <c r="G467">
        <v>125</v>
      </c>
      <c r="H467">
        <v>225500</v>
      </c>
      <c r="I467">
        <v>22550</v>
      </c>
      <c r="J467">
        <v>202950</v>
      </c>
      <c r="K467">
        <v>216480</v>
      </c>
      <c r="L467">
        <v>-13530</v>
      </c>
      <c r="M467" s="4">
        <v>41579</v>
      </c>
      <c r="N467">
        <v>11</v>
      </c>
      <c r="O467" t="s">
        <v>31</v>
      </c>
      <c r="P467" t="s">
        <v>14</v>
      </c>
      <c r="Q467" s="9">
        <f t="shared" si="21"/>
        <v>-6.6666666666666666E-2</v>
      </c>
      <c r="R467" s="9">
        <f t="shared" si="22"/>
        <v>1.0666666666666667</v>
      </c>
      <c r="V467" t="str">
        <f t="shared" si="23"/>
        <v>Under Review</v>
      </c>
    </row>
    <row r="468" spans="1:22" x14ac:dyDescent="0.25">
      <c r="A468" t="s">
        <v>8</v>
      </c>
      <c r="B468" t="s">
        <v>18</v>
      </c>
      <c r="C468" t="s">
        <v>39</v>
      </c>
      <c r="D468" t="s">
        <v>48</v>
      </c>
      <c r="E468">
        <v>2072</v>
      </c>
      <c r="F468">
        <v>5</v>
      </c>
      <c r="G468">
        <v>15</v>
      </c>
      <c r="H468">
        <v>31080</v>
      </c>
      <c r="I468">
        <v>3108</v>
      </c>
      <c r="J468">
        <v>27972</v>
      </c>
      <c r="K468">
        <v>20720</v>
      </c>
      <c r="L468">
        <v>7252</v>
      </c>
      <c r="M468" s="4">
        <v>41974</v>
      </c>
      <c r="N468">
        <v>12</v>
      </c>
      <c r="O468" t="s">
        <v>32</v>
      </c>
      <c r="P468" t="s">
        <v>15</v>
      </c>
      <c r="Q468" s="9">
        <f t="shared" si="21"/>
        <v>0.25925925925925924</v>
      </c>
      <c r="R468" s="9">
        <f t="shared" si="22"/>
        <v>0.7407407407407407</v>
      </c>
      <c r="V468" t="str">
        <f t="shared" si="23"/>
        <v>Good Performance</v>
      </c>
    </row>
    <row r="469" spans="1:22" x14ac:dyDescent="0.25">
      <c r="A469" t="s">
        <v>10</v>
      </c>
      <c r="B469" t="s">
        <v>18</v>
      </c>
      <c r="C469" t="s">
        <v>40</v>
      </c>
      <c r="D469" t="s">
        <v>48</v>
      </c>
      <c r="E469">
        <v>1954</v>
      </c>
      <c r="F469">
        <v>10</v>
      </c>
      <c r="G469">
        <v>20</v>
      </c>
      <c r="H469">
        <v>39080</v>
      </c>
      <c r="I469">
        <v>3908</v>
      </c>
      <c r="J469">
        <v>35172</v>
      </c>
      <c r="K469">
        <v>19540</v>
      </c>
      <c r="L469">
        <v>15632</v>
      </c>
      <c r="M469" s="4">
        <v>41699</v>
      </c>
      <c r="N469">
        <v>3</v>
      </c>
      <c r="O469" t="s">
        <v>23</v>
      </c>
      <c r="P469" t="s">
        <v>15</v>
      </c>
      <c r="Q469" s="9">
        <f t="shared" si="21"/>
        <v>0.44444444444444442</v>
      </c>
      <c r="R469" s="9">
        <f t="shared" si="22"/>
        <v>0.55555555555555558</v>
      </c>
      <c r="V469" t="str">
        <f t="shared" si="23"/>
        <v>Good Performance</v>
      </c>
    </row>
    <row r="470" spans="1:22" x14ac:dyDescent="0.25">
      <c r="A470" t="s">
        <v>7</v>
      </c>
      <c r="B470" t="s">
        <v>20</v>
      </c>
      <c r="C470" t="s">
        <v>40</v>
      </c>
      <c r="D470" t="s">
        <v>48</v>
      </c>
      <c r="E470">
        <v>591</v>
      </c>
      <c r="F470">
        <v>10</v>
      </c>
      <c r="G470">
        <v>300</v>
      </c>
      <c r="H470">
        <v>177300</v>
      </c>
      <c r="I470">
        <v>17730</v>
      </c>
      <c r="J470">
        <v>159570</v>
      </c>
      <c r="K470">
        <v>147750</v>
      </c>
      <c r="L470">
        <v>11820</v>
      </c>
      <c r="M470" s="4">
        <v>41760</v>
      </c>
      <c r="N470">
        <v>5</v>
      </c>
      <c r="O470" t="s">
        <v>25</v>
      </c>
      <c r="P470" t="s">
        <v>15</v>
      </c>
      <c r="Q470" s="9">
        <f t="shared" si="21"/>
        <v>7.407407407407407E-2</v>
      </c>
      <c r="R470" s="9">
        <f t="shared" si="22"/>
        <v>0.92592592592592593</v>
      </c>
      <c r="V470" t="str">
        <f t="shared" si="23"/>
        <v>Under Review</v>
      </c>
    </row>
    <row r="471" spans="1:22" x14ac:dyDescent="0.25">
      <c r="A471" t="s">
        <v>8</v>
      </c>
      <c r="B471" t="s">
        <v>18</v>
      </c>
      <c r="C471" t="s">
        <v>40</v>
      </c>
      <c r="D471" t="s">
        <v>48</v>
      </c>
      <c r="E471">
        <v>2167</v>
      </c>
      <c r="F471">
        <v>10</v>
      </c>
      <c r="G471">
        <v>15</v>
      </c>
      <c r="H471">
        <v>32505</v>
      </c>
      <c r="I471">
        <v>3250.5</v>
      </c>
      <c r="J471">
        <v>29254.5</v>
      </c>
      <c r="K471">
        <v>21670</v>
      </c>
      <c r="L471">
        <v>7584.5</v>
      </c>
      <c r="M471" s="4">
        <v>41548</v>
      </c>
      <c r="N471">
        <v>10</v>
      </c>
      <c r="O471" t="s">
        <v>30</v>
      </c>
      <c r="P471" t="s">
        <v>14</v>
      </c>
      <c r="Q471" s="9">
        <f t="shared" si="21"/>
        <v>0.25925925925925924</v>
      </c>
      <c r="R471" s="9">
        <f t="shared" si="22"/>
        <v>0.7407407407407407</v>
      </c>
      <c r="V471" t="str">
        <f t="shared" si="23"/>
        <v>Good Performance</v>
      </c>
    </row>
    <row r="472" spans="1:22" x14ac:dyDescent="0.25">
      <c r="A472" t="s">
        <v>10</v>
      </c>
      <c r="B472" t="s">
        <v>19</v>
      </c>
      <c r="C472" t="s">
        <v>40</v>
      </c>
      <c r="D472" t="s">
        <v>48</v>
      </c>
      <c r="E472">
        <v>241</v>
      </c>
      <c r="F472">
        <v>10</v>
      </c>
      <c r="G472">
        <v>20</v>
      </c>
      <c r="H472">
        <v>4820</v>
      </c>
      <c r="I472">
        <v>482</v>
      </c>
      <c r="J472">
        <v>4338</v>
      </c>
      <c r="K472">
        <v>2410</v>
      </c>
      <c r="L472">
        <v>1928</v>
      </c>
      <c r="M472" s="4">
        <v>41913</v>
      </c>
      <c r="N472">
        <v>10</v>
      </c>
      <c r="O472" t="s">
        <v>30</v>
      </c>
      <c r="P472" t="s">
        <v>15</v>
      </c>
      <c r="Q472" s="9">
        <f t="shared" si="21"/>
        <v>0.44444444444444442</v>
      </c>
      <c r="R472" s="9">
        <f t="shared" si="22"/>
        <v>0.55555555555555558</v>
      </c>
      <c r="V472" t="str">
        <f t="shared" si="23"/>
        <v>Good Performance</v>
      </c>
    </row>
    <row r="473" spans="1:22" x14ac:dyDescent="0.25">
      <c r="A473" t="s">
        <v>8</v>
      </c>
      <c r="B473" t="s">
        <v>19</v>
      </c>
      <c r="C473" t="s">
        <v>41</v>
      </c>
      <c r="D473" t="s">
        <v>48</v>
      </c>
      <c r="E473">
        <v>681</v>
      </c>
      <c r="F473">
        <v>120</v>
      </c>
      <c r="G473">
        <v>15</v>
      </c>
      <c r="H473">
        <v>10215</v>
      </c>
      <c r="I473">
        <v>1021.5</v>
      </c>
      <c r="J473">
        <v>9193.5</v>
      </c>
      <c r="K473">
        <v>6810</v>
      </c>
      <c r="L473">
        <v>2383.5</v>
      </c>
      <c r="M473" s="4">
        <v>41640</v>
      </c>
      <c r="N473">
        <v>1</v>
      </c>
      <c r="O473" t="s">
        <v>21</v>
      </c>
      <c r="P473" t="s">
        <v>15</v>
      </c>
      <c r="Q473" s="9">
        <f t="shared" si="21"/>
        <v>0.25925925925925924</v>
      </c>
      <c r="R473" s="9">
        <f t="shared" si="22"/>
        <v>0.7407407407407407</v>
      </c>
      <c r="V473" t="str">
        <f t="shared" si="23"/>
        <v>Good Performance</v>
      </c>
    </row>
    <row r="474" spans="1:22" x14ac:dyDescent="0.25">
      <c r="A474" t="s">
        <v>8</v>
      </c>
      <c r="B474" t="s">
        <v>19</v>
      </c>
      <c r="C474" t="s">
        <v>41</v>
      </c>
      <c r="D474" t="s">
        <v>48</v>
      </c>
      <c r="E474">
        <v>510</v>
      </c>
      <c r="F474">
        <v>120</v>
      </c>
      <c r="G474">
        <v>15</v>
      </c>
      <c r="H474">
        <v>7650</v>
      </c>
      <c r="I474">
        <v>765</v>
      </c>
      <c r="J474">
        <v>6885</v>
      </c>
      <c r="K474">
        <v>5100</v>
      </c>
      <c r="L474">
        <v>1785</v>
      </c>
      <c r="M474" s="4">
        <v>41730</v>
      </c>
      <c r="N474">
        <v>4</v>
      </c>
      <c r="O474" t="s">
        <v>24</v>
      </c>
      <c r="P474" t="s">
        <v>15</v>
      </c>
      <c r="Q474" s="9">
        <f t="shared" si="21"/>
        <v>0.25925925925925924</v>
      </c>
      <c r="R474" s="9">
        <f t="shared" si="22"/>
        <v>0.7407407407407407</v>
      </c>
      <c r="V474" t="str">
        <f t="shared" si="23"/>
        <v>Good Performance</v>
      </c>
    </row>
    <row r="475" spans="1:22" x14ac:dyDescent="0.25">
      <c r="A475" t="s">
        <v>8</v>
      </c>
      <c r="B475" t="s">
        <v>17</v>
      </c>
      <c r="C475" t="s">
        <v>41</v>
      </c>
      <c r="D475" t="s">
        <v>48</v>
      </c>
      <c r="E475">
        <v>790</v>
      </c>
      <c r="F475">
        <v>120</v>
      </c>
      <c r="G475">
        <v>15</v>
      </c>
      <c r="H475">
        <v>11850</v>
      </c>
      <c r="I475">
        <v>1185</v>
      </c>
      <c r="J475">
        <v>10665</v>
      </c>
      <c r="K475">
        <v>7900</v>
      </c>
      <c r="L475">
        <v>2765</v>
      </c>
      <c r="M475" s="4">
        <v>41760</v>
      </c>
      <c r="N475">
        <v>5</v>
      </c>
      <c r="O475" t="s">
        <v>25</v>
      </c>
      <c r="P475" t="s">
        <v>15</v>
      </c>
      <c r="Q475" s="9">
        <f t="shared" si="21"/>
        <v>0.25925925925925924</v>
      </c>
      <c r="R475" s="9">
        <f t="shared" si="22"/>
        <v>0.7407407407407407</v>
      </c>
      <c r="V475" t="str">
        <f t="shared" si="23"/>
        <v>Good Performance</v>
      </c>
    </row>
    <row r="476" spans="1:22" x14ac:dyDescent="0.25">
      <c r="A476" t="s">
        <v>10</v>
      </c>
      <c r="B476" t="s">
        <v>18</v>
      </c>
      <c r="C476" t="s">
        <v>41</v>
      </c>
      <c r="D476" t="s">
        <v>48</v>
      </c>
      <c r="E476">
        <v>639</v>
      </c>
      <c r="F476">
        <v>120</v>
      </c>
      <c r="G476">
        <v>350</v>
      </c>
      <c r="H476">
        <v>223650</v>
      </c>
      <c r="I476">
        <v>22365</v>
      </c>
      <c r="J476">
        <v>201285</v>
      </c>
      <c r="K476">
        <v>166140</v>
      </c>
      <c r="L476">
        <v>35145</v>
      </c>
      <c r="M476" s="4">
        <v>41821</v>
      </c>
      <c r="N476">
        <v>7</v>
      </c>
      <c r="O476" t="s">
        <v>27</v>
      </c>
      <c r="P476" t="s">
        <v>15</v>
      </c>
      <c r="Q476" s="9">
        <f t="shared" si="21"/>
        <v>0.17460317460317459</v>
      </c>
      <c r="R476" s="9">
        <f t="shared" si="22"/>
        <v>0.82539682539682535</v>
      </c>
      <c r="V476" t="str">
        <f t="shared" si="23"/>
        <v>Good Performance</v>
      </c>
    </row>
    <row r="477" spans="1:22" x14ac:dyDescent="0.25">
      <c r="A477" t="s">
        <v>9</v>
      </c>
      <c r="B477" t="s">
        <v>17</v>
      </c>
      <c r="C477" t="s">
        <v>41</v>
      </c>
      <c r="D477" t="s">
        <v>48</v>
      </c>
      <c r="E477">
        <v>1596</v>
      </c>
      <c r="F477">
        <v>120</v>
      </c>
      <c r="G477">
        <v>125</v>
      </c>
      <c r="H477">
        <v>199500</v>
      </c>
      <c r="I477">
        <v>19950</v>
      </c>
      <c r="J477">
        <v>179550</v>
      </c>
      <c r="K477">
        <v>191520</v>
      </c>
      <c r="L477">
        <v>-11970</v>
      </c>
      <c r="M477" s="4">
        <v>41883</v>
      </c>
      <c r="N477">
        <v>9</v>
      </c>
      <c r="O477" t="s">
        <v>29</v>
      </c>
      <c r="P477" t="s">
        <v>15</v>
      </c>
      <c r="Q477" s="9">
        <f t="shared" si="21"/>
        <v>-6.6666666666666666E-2</v>
      </c>
      <c r="R477" s="9">
        <f t="shared" si="22"/>
        <v>1.0666666666666667</v>
      </c>
      <c r="V477" t="str">
        <f t="shared" si="23"/>
        <v>Under Review</v>
      </c>
    </row>
    <row r="478" spans="1:22" x14ac:dyDescent="0.25">
      <c r="A478" t="s">
        <v>7</v>
      </c>
      <c r="B478" t="s">
        <v>17</v>
      </c>
      <c r="C478" t="s">
        <v>41</v>
      </c>
      <c r="D478" t="s">
        <v>48</v>
      </c>
      <c r="E478">
        <v>2294</v>
      </c>
      <c r="F478">
        <v>120</v>
      </c>
      <c r="G478">
        <v>300</v>
      </c>
      <c r="H478">
        <v>688200</v>
      </c>
      <c r="I478">
        <v>68820</v>
      </c>
      <c r="J478">
        <v>619380</v>
      </c>
      <c r="K478">
        <v>573500</v>
      </c>
      <c r="L478">
        <v>45880</v>
      </c>
      <c r="M478" s="4">
        <v>41548</v>
      </c>
      <c r="N478">
        <v>10</v>
      </c>
      <c r="O478" t="s">
        <v>30</v>
      </c>
      <c r="P478" t="s">
        <v>14</v>
      </c>
      <c r="Q478" s="9">
        <f t="shared" si="21"/>
        <v>7.407407407407407E-2</v>
      </c>
      <c r="R478" s="9">
        <f t="shared" si="22"/>
        <v>0.92592592592592593</v>
      </c>
      <c r="V478" t="str">
        <f t="shared" si="23"/>
        <v>Under Review</v>
      </c>
    </row>
    <row r="479" spans="1:22" x14ac:dyDescent="0.25">
      <c r="A479" t="s">
        <v>10</v>
      </c>
      <c r="B479" t="s">
        <v>19</v>
      </c>
      <c r="C479" t="s">
        <v>41</v>
      </c>
      <c r="D479" t="s">
        <v>48</v>
      </c>
      <c r="E479">
        <v>241</v>
      </c>
      <c r="F479">
        <v>120</v>
      </c>
      <c r="G479">
        <v>20</v>
      </c>
      <c r="H479">
        <v>4820</v>
      </c>
      <c r="I479">
        <v>482</v>
      </c>
      <c r="J479">
        <v>4338</v>
      </c>
      <c r="K479">
        <v>2410</v>
      </c>
      <c r="L479">
        <v>1928</v>
      </c>
      <c r="M479" s="4">
        <v>41913</v>
      </c>
      <c r="N479">
        <v>10</v>
      </c>
      <c r="O479" t="s">
        <v>30</v>
      </c>
      <c r="P479" t="s">
        <v>15</v>
      </c>
      <c r="Q479" s="9">
        <f t="shared" si="21"/>
        <v>0.44444444444444442</v>
      </c>
      <c r="R479" s="9">
        <f t="shared" si="22"/>
        <v>0.55555555555555558</v>
      </c>
      <c r="V479" t="str">
        <f t="shared" si="23"/>
        <v>Good Performance</v>
      </c>
    </row>
    <row r="480" spans="1:22" x14ac:dyDescent="0.25">
      <c r="A480" t="s">
        <v>10</v>
      </c>
      <c r="B480" t="s">
        <v>19</v>
      </c>
      <c r="C480" t="s">
        <v>41</v>
      </c>
      <c r="D480" t="s">
        <v>48</v>
      </c>
      <c r="E480">
        <v>2665</v>
      </c>
      <c r="F480">
        <v>120</v>
      </c>
      <c r="G480">
        <v>7</v>
      </c>
      <c r="H480">
        <v>18655</v>
      </c>
      <c r="I480">
        <v>1865.5</v>
      </c>
      <c r="J480">
        <v>16789.5</v>
      </c>
      <c r="K480">
        <v>13325</v>
      </c>
      <c r="L480">
        <v>3464.5</v>
      </c>
      <c r="M480" s="4">
        <v>41944</v>
      </c>
      <c r="N480">
        <v>11</v>
      </c>
      <c r="O480" t="s">
        <v>31</v>
      </c>
      <c r="P480" t="s">
        <v>15</v>
      </c>
      <c r="Q480" s="9">
        <f t="shared" si="21"/>
        <v>0.20634920634920634</v>
      </c>
      <c r="R480" s="9">
        <f t="shared" si="22"/>
        <v>0.79365079365079361</v>
      </c>
      <c r="V480" t="str">
        <f t="shared" si="23"/>
        <v>Good Performance</v>
      </c>
    </row>
    <row r="481" spans="1:22" x14ac:dyDescent="0.25">
      <c r="A481" t="s">
        <v>9</v>
      </c>
      <c r="B481" t="s">
        <v>16</v>
      </c>
      <c r="C481" t="s">
        <v>41</v>
      </c>
      <c r="D481" t="s">
        <v>48</v>
      </c>
      <c r="E481">
        <v>1916</v>
      </c>
      <c r="F481">
        <v>120</v>
      </c>
      <c r="G481">
        <v>125</v>
      </c>
      <c r="H481">
        <v>239500</v>
      </c>
      <c r="I481">
        <v>23950</v>
      </c>
      <c r="J481">
        <v>215550</v>
      </c>
      <c r="K481">
        <v>229920</v>
      </c>
      <c r="L481">
        <v>-14370</v>
      </c>
      <c r="M481" s="4">
        <v>41609</v>
      </c>
      <c r="N481">
        <v>12</v>
      </c>
      <c r="O481" t="s">
        <v>32</v>
      </c>
      <c r="P481" t="s">
        <v>14</v>
      </c>
      <c r="Q481" s="9">
        <f t="shared" si="21"/>
        <v>-6.6666666666666666E-2</v>
      </c>
      <c r="R481" s="9">
        <f t="shared" si="22"/>
        <v>1.0666666666666667</v>
      </c>
      <c r="V481" t="str">
        <f t="shared" si="23"/>
        <v>Under Review</v>
      </c>
    </row>
    <row r="482" spans="1:22" x14ac:dyDescent="0.25">
      <c r="A482" t="s">
        <v>7</v>
      </c>
      <c r="B482" t="s">
        <v>18</v>
      </c>
      <c r="C482" t="s">
        <v>41</v>
      </c>
      <c r="D482" t="s">
        <v>48</v>
      </c>
      <c r="E482">
        <v>853</v>
      </c>
      <c r="F482">
        <v>120</v>
      </c>
      <c r="G482">
        <v>300</v>
      </c>
      <c r="H482">
        <v>255900</v>
      </c>
      <c r="I482">
        <v>25590</v>
      </c>
      <c r="J482">
        <v>230310</v>
      </c>
      <c r="K482">
        <v>213250</v>
      </c>
      <c r="L482">
        <v>17060</v>
      </c>
      <c r="M482" s="4">
        <v>41974</v>
      </c>
      <c r="N482">
        <v>12</v>
      </c>
      <c r="O482" t="s">
        <v>32</v>
      </c>
      <c r="P482" t="s">
        <v>15</v>
      </c>
      <c r="Q482" s="9">
        <f t="shared" si="21"/>
        <v>7.407407407407407E-2</v>
      </c>
      <c r="R482" s="9">
        <f t="shared" si="22"/>
        <v>0.92592592592592593</v>
      </c>
      <c r="V482" t="str">
        <f t="shared" si="23"/>
        <v>Under Review</v>
      </c>
    </row>
    <row r="483" spans="1:22" x14ac:dyDescent="0.25">
      <c r="A483" t="s">
        <v>9</v>
      </c>
      <c r="B483" t="s">
        <v>20</v>
      </c>
      <c r="C483" t="s">
        <v>42</v>
      </c>
      <c r="D483" t="s">
        <v>48</v>
      </c>
      <c r="E483">
        <v>341</v>
      </c>
      <c r="F483">
        <v>250</v>
      </c>
      <c r="G483">
        <v>125</v>
      </c>
      <c r="H483">
        <v>42625</v>
      </c>
      <c r="I483">
        <v>4262.5</v>
      </c>
      <c r="J483">
        <v>38362.5</v>
      </c>
      <c r="K483">
        <v>40920</v>
      </c>
      <c r="L483">
        <v>-2557.5</v>
      </c>
      <c r="M483" s="4">
        <v>41760</v>
      </c>
      <c r="N483">
        <v>5</v>
      </c>
      <c r="O483" t="s">
        <v>25</v>
      </c>
      <c r="P483" t="s">
        <v>15</v>
      </c>
      <c r="Q483" s="9">
        <f t="shared" si="21"/>
        <v>-6.6666666666666666E-2</v>
      </c>
      <c r="R483" s="9">
        <f t="shared" si="22"/>
        <v>1.0666666666666667</v>
      </c>
      <c r="V483" t="str">
        <f t="shared" si="23"/>
        <v>Under Review</v>
      </c>
    </row>
    <row r="484" spans="1:22" x14ac:dyDescent="0.25">
      <c r="A484" t="s">
        <v>8</v>
      </c>
      <c r="B484" t="s">
        <v>20</v>
      </c>
      <c r="C484" t="s">
        <v>42</v>
      </c>
      <c r="D484" t="s">
        <v>48</v>
      </c>
      <c r="E484">
        <v>641</v>
      </c>
      <c r="F484">
        <v>250</v>
      </c>
      <c r="G484">
        <v>15</v>
      </c>
      <c r="H484">
        <v>9615</v>
      </c>
      <c r="I484">
        <v>961.5</v>
      </c>
      <c r="J484">
        <v>8653.5</v>
      </c>
      <c r="K484">
        <v>6410</v>
      </c>
      <c r="L484">
        <v>2243.5</v>
      </c>
      <c r="M484" s="4">
        <v>41821</v>
      </c>
      <c r="N484">
        <v>7</v>
      </c>
      <c r="O484" t="s">
        <v>27</v>
      </c>
      <c r="P484" t="s">
        <v>15</v>
      </c>
      <c r="Q484" s="9">
        <f t="shared" si="21"/>
        <v>0.25925925925925924</v>
      </c>
      <c r="R484" s="9">
        <f t="shared" si="22"/>
        <v>0.7407407407407407</v>
      </c>
      <c r="V484" t="str">
        <f t="shared" si="23"/>
        <v>Good Performance</v>
      </c>
    </row>
    <row r="485" spans="1:22" x14ac:dyDescent="0.25">
      <c r="A485" t="s">
        <v>10</v>
      </c>
      <c r="B485" t="s">
        <v>17</v>
      </c>
      <c r="C485" t="s">
        <v>42</v>
      </c>
      <c r="D485" t="s">
        <v>48</v>
      </c>
      <c r="E485">
        <v>2807</v>
      </c>
      <c r="F485">
        <v>250</v>
      </c>
      <c r="G485">
        <v>350</v>
      </c>
      <c r="H485">
        <v>982450</v>
      </c>
      <c r="I485">
        <v>98245</v>
      </c>
      <c r="J485">
        <v>884205</v>
      </c>
      <c r="K485">
        <v>729820</v>
      </c>
      <c r="L485">
        <v>154385</v>
      </c>
      <c r="M485" s="4">
        <v>41852</v>
      </c>
      <c r="N485">
        <v>8</v>
      </c>
      <c r="O485" t="s">
        <v>28</v>
      </c>
      <c r="P485" t="s">
        <v>15</v>
      </c>
      <c r="Q485" s="9">
        <f t="shared" si="21"/>
        <v>0.17460317460317459</v>
      </c>
      <c r="R485" s="9">
        <f t="shared" si="22"/>
        <v>0.82539682539682535</v>
      </c>
      <c r="V485" t="str">
        <f t="shared" si="23"/>
        <v>Good Performance</v>
      </c>
    </row>
    <row r="486" spans="1:22" x14ac:dyDescent="0.25">
      <c r="A486" t="s">
        <v>7</v>
      </c>
      <c r="B486" t="s">
        <v>20</v>
      </c>
      <c r="C486" t="s">
        <v>42</v>
      </c>
      <c r="D486" t="s">
        <v>48</v>
      </c>
      <c r="E486">
        <v>432</v>
      </c>
      <c r="F486">
        <v>250</v>
      </c>
      <c r="G486">
        <v>300</v>
      </c>
      <c r="H486">
        <v>129600</v>
      </c>
      <c r="I486">
        <v>12960</v>
      </c>
      <c r="J486">
        <v>116640</v>
      </c>
      <c r="K486">
        <v>108000</v>
      </c>
      <c r="L486">
        <v>8640</v>
      </c>
      <c r="M486" s="4">
        <v>41883</v>
      </c>
      <c r="N486">
        <v>9</v>
      </c>
      <c r="O486" t="s">
        <v>29</v>
      </c>
      <c r="P486" t="s">
        <v>15</v>
      </c>
      <c r="Q486" s="9">
        <f t="shared" si="21"/>
        <v>7.407407407407407E-2</v>
      </c>
      <c r="R486" s="9">
        <f t="shared" si="22"/>
        <v>0.92592592592592593</v>
      </c>
      <c r="V486" t="str">
        <f t="shared" si="23"/>
        <v>Under Review</v>
      </c>
    </row>
    <row r="487" spans="1:22" x14ac:dyDescent="0.25">
      <c r="A487" t="s">
        <v>7</v>
      </c>
      <c r="B487" t="s">
        <v>17</v>
      </c>
      <c r="C487" t="s">
        <v>42</v>
      </c>
      <c r="D487" t="s">
        <v>48</v>
      </c>
      <c r="E487">
        <v>2294</v>
      </c>
      <c r="F487">
        <v>250</v>
      </c>
      <c r="G487">
        <v>300</v>
      </c>
      <c r="H487">
        <v>688200</v>
      </c>
      <c r="I487">
        <v>68820</v>
      </c>
      <c r="J487">
        <v>619380</v>
      </c>
      <c r="K487">
        <v>573500</v>
      </c>
      <c r="L487">
        <v>45880</v>
      </c>
      <c r="M487" s="4">
        <v>41548</v>
      </c>
      <c r="N487">
        <v>10</v>
      </c>
      <c r="O487" t="s">
        <v>30</v>
      </c>
      <c r="P487" t="s">
        <v>14</v>
      </c>
      <c r="Q487" s="9">
        <f t="shared" si="21"/>
        <v>7.407407407407407E-2</v>
      </c>
      <c r="R487" s="9">
        <f t="shared" si="22"/>
        <v>0.92592592592592593</v>
      </c>
      <c r="V487" t="str">
        <f t="shared" si="23"/>
        <v>Under Review</v>
      </c>
    </row>
    <row r="488" spans="1:22" x14ac:dyDescent="0.25">
      <c r="A488" t="s">
        <v>8</v>
      </c>
      <c r="B488" t="s">
        <v>18</v>
      </c>
      <c r="C488" t="s">
        <v>42</v>
      </c>
      <c r="D488" t="s">
        <v>48</v>
      </c>
      <c r="E488">
        <v>2167</v>
      </c>
      <c r="F488">
        <v>250</v>
      </c>
      <c r="G488">
        <v>15</v>
      </c>
      <c r="H488">
        <v>32505</v>
      </c>
      <c r="I488">
        <v>3250.5</v>
      </c>
      <c r="J488">
        <v>29254.5</v>
      </c>
      <c r="K488">
        <v>21670</v>
      </c>
      <c r="L488">
        <v>7584.5</v>
      </c>
      <c r="M488" s="4">
        <v>41548</v>
      </c>
      <c r="N488">
        <v>10</v>
      </c>
      <c r="O488" t="s">
        <v>30</v>
      </c>
      <c r="P488" t="s">
        <v>14</v>
      </c>
      <c r="Q488" s="9">
        <f t="shared" si="21"/>
        <v>0.25925925925925924</v>
      </c>
      <c r="R488" s="9">
        <f t="shared" si="22"/>
        <v>0.7407407407407407</v>
      </c>
      <c r="V488" t="str">
        <f t="shared" si="23"/>
        <v>Good Performance</v>
      </c>
    </row>
    <row r="489" spans="1:22" x14ac:dyDescent="0.25">
      <c r="A489" t="s">
        <v>9</v>
      </c>
      <c r="B489" t="s">
        <v>16</v>
      </c>
      <c r="C489" t="s">
        <v>42</v>
      </c>
      <c r="D489" t="s">
        <v>48</v>
      </c>
      <c r="E489">
        <v>2529</v>
      </c>
      <c r="F489">
        <v>250</v>
      </c>
      <c r="G489">
        <v>125</v>
      </c>
      <c r="H489">
        <v>316125</v>
      </c>
      <c r="I489">
        <v>31612.5</v>
      </c>
      <c r="J489">
        <v>284512.5</v>
      </c>
      <c r="K489">
        <v>303480</v>
      </c>
      <c r="L489">
        <v>-18967.5</v>
      </c>
      <c r="M489" s="4">
        <v>41944</v>
      </c>
      <c r="N489">
        <v>11</v>
      </c>
      <c r="O489" t="s">
        <v>31</v>
      </c>
      <c r="P489" t="s">
        <v>15</v>
      </c>
      <c r="Q489" s="9">
        <f t="shared" si="21"/>
        <v>-6.6666666666666666E-2</v>
      </c>
      <c r="R489" s="9">
        <f t="shared" si="22"/>
        <v>1.0666666666666667</v>
      </c>
      <c r="V489" t="str">
        <f t="shared" si="23"/>
        <v>Under Review</v>
      </c>
    </row>
    <row r="490" spans="1:22" x14ac:dyDescent="0.25">
      <c r="A490" t="s">
        <v>10</v>
      </c>
      <c r="B490" t="s">
        <v>19</v>
      </c>
      <c r="C490" t="s">
        <v>42</v>
      </c>
      <c r="D490" t="s">
        <v>48</v>
      </c>
      <c r="E490">
        <v>1870</v>
      </c>
      <c r="F490">
        <v>250</v>
      </c>
      <c r="G490">
        <v>350</v>
      </c>
      <c r="H490">
        <v>654500</v>
      </c>
      <c r="I490">
        <v>65450</v>
      </c>
      <c r="J490">
        <v>589050</v>
      </c>
      <c r="K490">
        <v>486200</v>
      </c>
      <c r="L490">
        <v>102850</v>
      </c>
      <c r="M490" s="4">
        <v>41609</v>
      </c>
      <c r="N490">
        <v>12</v>
      </c>
      <c r="O490" t="s">
        <v>32</v>
      </c>
      <c r="P490" t="s">
        <v>14</v>
      </c>
      <c r="Q490" s="9">
        <f t="shared" si="21"/>
        <v>0.17460317460317459</v>
      </c>
      <c r="R490" s="9">
        <f t="shared" si="22"/>
        <v>0.82539682539682535</v>
      </c>
      <c r="V490" t="str">
        <f t="shared" si="23"/>
        <v>Good Performance</v>
      </c>
    </row>
    <row r="491" spans="1:22" x14ac:dyDescent="0.25">
      <c r="A491" t="s">
        <v>9</v>
      </c>
      <c r="B491" t="s">
        <v>17</v>
      </c>
      <c r="C491" t="s">
        <v>43</v>
      </c>
      <c r="D491" t="s">
        <v>48</v>
      </c>
      <c r="E491">
        <v>579</v>
      </c>
      <c r="F491">
        <v>260</v>
      </c>
      <c r="G491">
        <v>125</v>
      </c>
      <c r="H491">
        <v>72375</v>
      </c>
      <c r="I491">
        <v>7237.5</v>
      </c>
      <c r="J491">
        <v>65137.5</v>
      </c>
      <c r="K491">
        <v>69480</v>
      </c>
      <c r="L491">
        <v>-4342.5</v>
      </c>
      <c r="M491" s="4">
        <v>41640</v>
      </c>
      <c r="N491">
        <v>1</v>
      </c>
      <c r="O491" t="s">
        <v>21</v>
      </c>
      <c r="P491" t="s">
        <v>15</v>
      </c>
      <c r="Q491" s="9">
        <f t="shared" si="21"/>
        <v>-6.6666666666666666E-2</v>
      </c>
      <c r="R491" s="9">
        <f t="shared" si="22"/>
        <v>1.0666666666666667</v>
      </c>
      <c r="V491" t="str">
        <f t="shared" si="23"/>
        <v>Under Review</v>
      </c>
    </row>
    <row r="492" spans="1:22" x14ac:dyDescent="0.25">
      <c r="A492" t="s">
        <v>10</v>
      </c>
      <c r="B492" t="s">
        <v>16</v>
      </c>
      <c r="C492" t="s">
        <v>43</v>
      </c>
      <c r="D492" t="s">
        <v>48</v>
      </c>
      <c r="E492">
        <v>2240</v>
      </c>
      <c r="F492">
        <v>260</v>
      </c>
      <c r="G492">
        <v>350</v>
      </c>
      <c r="H492">
        <v>784000</v>
      </c>
      <c r="I492">
        <v>78400</v>
      </c>
      <c r="J492">
        <v>705600</v>
      </c>
      <c r="K492">
        <v>582400</v>
      </c>
      <c r="L492">
        <v>123200</v>
      </c>
      <c r="M492" s="4">
        <v>41671</v>
      </c>
      <c r="N492">
        <v>2</v>
      </c>
      <c r="O492" t="s">
        <v>22</v>
      </c>
      <c r="P492" t="s">
        <v>15</v>
      </c>
      <c r="Q492" s="9">
        <f t="shared" si="21"/>
        <v>0.17460317460317459</v>
      </c>
      <c r="R492" s="9">
        <f t="shared" si="22"/>
        <v>0.82539682539682535</v>
      </c>
      <c r="V492" t="str">
        <f t="shared" si="23"/>
        <v>Good Performance</v>
      </c>
    </row>
    <row r="493" spans="1:22" x14ac:dyDescent="0.25">
      <c r="A493" t="s">
        <v>7</v>
      </c>
      <c r="B493" t="s">
        <v>17</v>
      </c>
      <c r="C493" t="s">
        <v>43</v>
      </c>
      <c r="D493" t="s">
        <v>48</v>
      </c>
      <c r="E493">
        <v>2993</v>
      </c>
      <c r="F493">
        <v>260</v>
      </c>
      <c r="G493">
        <v>300</v>
      </c>
      <c r="H493">
        <v>897900</v>
      </c>
      <c r="I493">
        <v>89790</v>
      </c>
      <c r="J493">
        <v>808110</v>
      </c>
      <c r="K493">
        <v>748250</v>
      </c>
      <c r="L493">
        <v>59860</v>
      </c>
      <c r="M493" s="4">
        <v>41699</v>
      </c>
      <c r="N493">
        <v>3</v>
      </c>
      <c r="O493" t="s">
        <v>23</v>
      </c>
      <c r="P493" t="s">
        <v>15</v>
      </c>
      <c r="Q493" s="9">
        <f t="shared" si="21"/>
        <v>7.407407407407407E-2</v>
      </c>
      <c r="R493" s="9">
        <f t="shared" si="22"/>
        <v>0.92592592592592593</v>
      </c>
      <c r="V493" t="str">
        <f t="shared" si="23"/>
        <v>Under Review</v>
      </c>
    </row>
    <row r="494" spans="1:22" x14ac:dyDescent="0.25">
      <c r="A494" t="s">
        <v>11</v>
      </c>
      <c r="B494" t="s">
        <v>16</v>
      </c>
      <c r="C494" t="s">
        <v>43</v>
      </c>
      <c r="D494" t="s">
        <v>48</v>
      </c>
      <c r="E494">
        <v>3520.5</v>
      </c>
      <c r="F494">
        <v>260</v>
      </c>
      <c r="G494">
        <v>12</v>
      </c>
      <c r="H494">
        <v>42246</v>
      </c>
      <c r="I494">
        <v>4224.6000000000004</v>
      </c>
      <c r="J494">
        <v>38021.399999999994</v>
      </c>
      <c r="K494">
        <v>10561.5</v>
      </c>
      <c r="L494">
        <v>27459.899999999998</v>
      </c>
      <c r="M494" s="4">
        <v>41730</v>
      </c>
      <c r="N494">
        <v>4</v>
      </c>
      <c r="O494" t="s">
        <v>24</v>
      </c>
      <c r="P494" t="s">
        <v>15</v>
      </c>
      <c r="Q494" s="9">
        <f t="shared" si="21"/>
        <v>0.72222222222222232</v>
      </c>
      <c r="R494" s="9">
        <f t="shared" si="22"/>
        <v>0.27777777777777785</v>
      </c>
      <c r="V494" t="str">
        <f t="shared" si="23"/>
        <v>Good Performance</v>
      </c>
    </row>
    <row r="495" spans="1:22" x14ac:dyDescent="0.25">
      <c r="A495" t="s">
        <v>10</v>
      </c>
      <c r="B495" t="s">
        <v>20</v>
      </c>
      <c r="C495" t="s">
        <v>43</v>
      </c>
      <c r="D495" t="s">
        <v>48</v>
      </c>
      <c r="E495">
        <v>2039</v>
      </c>
      <c r="F495">
        <v>260</v>
      </c>
      <c r="G495">
        <v>20</v>
      </c>
      <c r="H495">
        <v>40780</v>
      </c>
      <c r="I495">
        <v>4078</v>
      </c>
      <c r="J495">
        <v>36702</v>
      </c>
      <c r="K495">
        <v>20390</v>
      </c>
      <c r="L495">
        <v>16312</v>
      </c>
      <c r="M495" s="4">
        <v>41760</v>
      </c>
      <c r="N495">
        <v>5</v>
      </c>
      <c r="O495" t="s">
        <v>25</v>
      </c>
      <c r="P495" t="s">
        <v>15</v>
      </c>
      <c r="Q495" s="9">
        <f t="shared" si="21"/>
        <v>0.44444444444444442</v>
      </c>
      <c r="R495" s="9">
        <f t="shared" si="22"/>
        <v>0.55555555555555558</v>
      </c>
      <c r="V495" t="str">
        <f t="shared" si="23"/>
        <v>Good Performance</v>
      </c>
    </row>
    <row r="496" spans="1:22" x14ac:dyDescent="0.25">
      <c r="A496" t="s">
        <v>11</v>
      </c>
      <c r="B496" t="s">
        <v>19</v>
      </c>
      <c r="C496" t="s">
        <v>43</v>
      </c>
      <c r="D496" t="s">
        <v>48</v>
      </c>
      <c r="E496">
        <v>2574</v>
      </c>
      <c r="F496">
        <v>260</v>
      </c>
      <c r="G496">
        <v>12</v>
      </c>
      <c r="H496">
        <v>30888</v>
      </c>
      <c r="I496">
        <v>3088.8</v>
      </c>
      <c r="J496">
        <v>27799.200000000001</v>
      </c>
      <c r="K496">
        <v>7722</v>
      </c>
      <c r="L496">
        <v>20077.2</v>
      </c>
      <c r="M496" s="4">
        <v>41852</v>
      </c>
      <c r="N496">
        <v>8</v>
      </c>
      <c r="O496" t="s">
        <v>28</v>
      </c>
      <c r="P496" t="s">
        <v>15</v>
      </c>
      <c r="Q496" s="9">
        <f t="shared" si="21"/>
        <v>0.72222222222222221</v>
      </c>
      <c r="R496" s="9">
        <f t="shared" si="22"/>
        <v>0.27777777777777779</v>
      </c>
      <c r="V496" t="str">
        <f t="shared" si="23"/>
        <v>Good Performance</v>
      </c>
    </row>
    <row r="497" spans="1:22" x14ac:dyDescent="0.25">
      <c r="A497" t="s">
        <v>10</v>
      </c>
      <c r="B497" t="s">
        <v>16</v>
      </c>
      <c r="C497" t="s">
        <v>43</v>
      </c>
      <c r="D497" t="s">
        <v>48</v>
      </c>
      <c r="E497">
        <v>707</v>
      </c>
      <c r="F497">
        <v>260</v>
      </c>
      <c r="G497">
        <v>350</v>
      </c>
      <c r="H497">
        <v>247450</v>
      </c>
      <c r="I497">
        <v>24745</v>
      </c>
      <c r="J497">
        <v>222705</v>
      </c>
      <c r="K497">
        <v>183820</v>
      </c>
      <c r="L497">
        <v>38885</v>
      </c>
      <c r="M497" s="4">
        <v>41883</v>
      </c>
      <c r="N497">
        <v>9</v>
      </c>
      <c r="O497" t="s">
        <v>29</v>
      </c>
      <c r="P497" t="s">
        <v>15</v>
      </c>
      <c r="Q497" s="9">
        <f t="shared" si="21"/>
        <v>0.17460317460317459</v>
      </c>
      <c r="R497" s="9">
        <f t="shared" si="22"/>
        <v>0.82539682539682535</v>
      </c>
      <c r="V497" t="str">
        <f t="shared" si="23"/>
        <v>Good Performance</v>
      </c>
    </row>
    <row r="498" spans="1:22" x14ac:dyDescent="0.25">
      <c r="A498" t="s">
        <v>8</v>
      </c>
      <c r="B498" t="s">
        <v>18</v>
      </c>
      <c r="C498" t="s">
        <v>43</v>
      </c>
      <c r="D498" t="s">
        <v>48</v>
      </c>
      <c r="E498">
        <v>2072</v>
      </c>
      <c r="F498">
        <v>260</v>
      </c>
      <c r="G498">
        <v>15</v>
      </c>
      <c r="H498">
        <v>31080</v>
      </c>
      <c r="I498">
        <v>3108</v>
      </c>
      <c r="J498">
        <v>27972</v>
      </c>
      <c r="K498">
        <v>20720</v>
      </c>
      <c r="L498">
        <v>7252</v>
      </c>
      <c r="M498" s="4">
        <v>41974</v>
      </c>
      <c r="N498">
        <v>12</v>
      </c>
      <c r="O498" t="s">
        <v>32</v>
      </c>
      <c r="P498" t="s">
        <v>15</v>
      </c>
      <c r="Q498" s="9">
        <f t="shared" si="21"/>
        <v>0.25925925925925924</v>
      </c>
      <c r="R498" s="9">
        <f t="shared" si="22"/>
        <v>0.7407407407407407</v>
      </c>
      <c r="V498" t="str">
        <f t="shared" si="23"/>
        <v>Good Performance</v>
      </c>
    </row>
    <row r="499" spans="1:22" x14ac:dyDescent="0.25">
      <c r="A499" t="s">
        <v>7</v>
      </c>
      <c r="B499" t="s">
        <v>18</v>
      </c>
      <c r="C499" t="s">
        <v>43</v>
      </c>
      <c r="D499" t="s">
        <v>48</v>
      </c>
      <c r="E499">
        <v>853</v>
      </c>
      <c r="F499">
        <v>260</v>
      </c>
      <c r="G499">
        <v>300</v>
      </c>
      <c r="H499">
        <v>255900</v>
      </c>
      <c r="I499">
        <v>25590</v>
      </c>
      <c r="J499">
        <v>230310</v>
      </c>
      <c r="K499">
        <v>213250</v>
      </c>
      <c r="L499">
        <v>17060</v>
      </c>
      <c r="M499" s="4">
        <v>41974</v>
      </c>
      <c r="N499">
        <v>12</v>
      </c>
      <c r="O499" t="s">
        <v>32</v>
      </c>
      <c r="P499" t="s">
        <v>15</v>
      </c>
      <c r="Q499" s="9">
        <f t="shared" si="21"/>
        <v>7.407407407407407E-2</v>
      </c>
      <c r="R499" s="9">
        <f t="shared" si="22"/>
        <v>0.92592592592592593</v>
      </c>
      <c r="V499" t="str">
        <f t="shared" si="23"/>
        <v>Under Review</v>
      </c>
    </row>
    <row r="500" spans="1:22" x14ac:dyDescent="0.25">
      <c r="A500" t="s">
        <v>11</v>
      </c>
      <c r="B500" t="s">
        <v>18</v>
      </c>
      <c r="C500" t="s">
        <v>38</v>
      </c>
      <c r="D500" t="s">
        <v>48</v>
      </c>
      <c r="E500">
        <v>1198</v>
      </c>
      <c r="F500">
        <v>3</v>
      </c>
      <c r="G500">
        <v>12</v>
      </c>
      <c r="H500">
        <v>14376</v>
      </c>
      <c r="I500">
        <v>1581.36</v>
      </c>
      <c r="J500">
        <v>12794.64</v>
      </c>
      <c r="K500">
        <v>3594</v>
      </c>
      <c r="L500">
        <v>9200.64</v>
      </c>
      <c r="M500" s="4">
        <v>41548</v>
      </c>
      <c r="N500">
        <v>10</v>
      </c>
      <c r="O500" t="s">
        <v>30</v>
      </c>
      <c r="P500" t="s">
        <v>14</v>
      </c>
      <c r="Q500" s="9">
        <f t="shared" si="21"/>
        <v>0.7191011235955056</v>
      </c>
      <c r="R500" s="9">
        <f t="shared" si="22"/>
        <v>0.2808988764044944</v>
      </c>
      <c r="V500" t="str">
        <f t="shared" si="23"/>
        <v>Good Performance</v>
      </c>
    </row>
    <row r="501" spans="1:22" x14ac:dyDescent="0.25">
      <c r="A501" t="s">
        <v>10</v>
      </c>
      <c r="B501" t="s">
        <v>18</v>
      </c>
      <c r="C501" t="s">
        <v>40</v>
      </c>
      <c r="D501" t="s">
        <v>48</v>
      </c>
      <c r="E501">
        <v>2532</v>
      </c>
      <c r="F501">
        <v>10</v>
      </c>
      <c r="G501">
        <v>7</v>
      </c>
      <c r="H501">
        <v>17724</v>
      </c>
      <c r="I501">
        <v>1949.6399999999999</v>
      </c>
      <c r="J501">
        <v>15774.36</v>
      </c>
      <c r="K501">
        <v>12660</v>
      </c>
      <c r="L501">
        <v>3114.3599999999997</v>
      </c>
      <c r="M501" s="4">
        <v>41730</v>
      </c>
      <c r="N501">
        <v>4</v>
      </c>
      <c r="O501" t="s">
        <v>24</v>
      </c>
      <c r="P501" t="s">
        <v>15</v>
      </c>
      <c r="Q501" s="9">
        <f t="shared" si="21"/>
        <v>0.1974317817014446</v>
      </c>
      <c r="R501" s="9">
        <f t="shared" si="22"/>
        <v>0.8025682182985554</v>
      </c>
      <c r="V501" t="str">
        <f t="shared" si="23"/>
        <v>Good Performance</v>
      </c>
    </row>
    <row r="502" spans="1:22" x14ac:dyDescent="0.25">
      <c r="A502" t="s">
        <v>11</v>
      </c>
      <c r="B502" t="s">
        <v>18</v>
      </c>
      <c r="C502" t="s">
        <v>40</v>
      </c>
      <c r="D502" t="s">
        <v>48</v>
      </c>
      <c r="E502">
        <v>1198</v>
      </c>
      <c r="F502">
        <v>10</v>
      </c>
      <c r="G502">
        <v>12</v>
      </c>
      <c r="H502">
        <v>14376</v>
      </c>
      <c r="I502">
        <v>1581.36</v>
      </c>
      <c r="J502">
        <v>12794.64</v>
      </c>
      <c r="K502">
        <v>3594</v>
      </c>
      <c r="L502">
        <v>9200.64</v>
      </c>
      <c r="M502" s="4">
        <v>41548</v>
      </c>
      <c r="N502">
        <v>10</v>
      </c>
      <c r="O502" t="s">
        <v>30</v>
      </c>
      <c r="P502" t="s">
        <v>14</v>
      </c>
      <c r="Q502" s="9">
        <f t="shared" si="21"/>
        <v>0.7191011235955056</v>
      </c>
      <c r="R502" s="9">
        <f t="shared" si="22"/>
        <v>0.2808988764044944</v>
      </c>
      <c r="V502" t="str">
        <f t="shared" si="23"/>
        <v>Good Performance</v>
      </c>
    </row>
    <row r="503" spans="1:22" x14ac:dyDescent="0.25">
      <c r="A503" t="s">
        <v>8</v>
      </c>
      <c r="B503" t="s">
        <v>16</v>
      </c>
      <c r="C503" t="s">
        <v>41</v>
      </c>
      <c r="D503" t="s">
        <v>48</v>
      </c>
      <c r="E503">
        <v>384</v>
      </c>
      <c r="F503">
        <v>120</v>
      </c>
      <c r="G503">
        <v>15</v>
      </c>
      <c r="H503">
        <v>5760</v>
      </c>
      <c r="I503">
        <v>633.59999999999991</v>
      </c>
      <c r="J503">
        <v>5126.3999999999996</v>
      </c>
      <c r="K503">
        <v>3840</v>
      </c>
      <c r="L503">
        <v>1286.3999999999999</v>
      </c>
      <c r="M503" s="4">
        <v>41640</v>
      </c>
      <c r="N503">
        <v>1</v>
      </c>
      <c r="O503" t="s">
        <v>21</v>
      </c>
      <c r="P503" t="s">
        <v>15</v>
      </c>
      <c r="Q503" s="9">
        <f t="shared" si="21"/>
        <v>0.25093632958801498</v>
      </c>
      <c r="R503" s="9">
        <f t="shared" si="22"/>
        <v>0.74906367041198507</v>
      </c>
      <c r="V503" t="str">
        <f t="shared" si="23"/>
        <v>Good Performance</v>
      </c>
    </row>
    <row r="504" spans="1:22" x14ac:dyDescent="0.25">
      <c r="A504" t="s">
        <v>11</v>
      </c>
      <c r="B504" t="s">
        <v>19</v>
      </c>
      <c r="C504" t="s">
        <v>41</v>
      </c>
      <c r="D504" t="s">
        <v>48</v>
      </c>
      <c r="E504">
        <v>472</v>
      </c>
      <c r="F504">
        <v>120</v>
      </c>
      <c r="G504">
        <v>12</v>
      </c>
      <c r="H504">
        <v>5664</v>
      </c>
      <c r="I504">
        <v>623.04</v>
      </c>
      <c r="J504">
        <v>5040.96</v>
      </c>
      <c r="K504">
        <v>1416</v>
      </c>
      <c r="L504">
        <v>3624.96</v>
      </c>
      <c r="M504" s="4">
        <v>41913</v>
      </c>
      <c r="N504">
        <v>10</v>
      </c>
      <c r="O504" t="s">
        <v>30</v>
      </c>
      <c r="P504" t="s">
        <v>15</v>
      </c>
      <c r="Q504" s="9">
        <f t="shared" si="21"/>
        <v>0.7191011235955056</v>
      </c>
      <c r="R504" s="9">
        <f t="shared" si="22"/>
        <v>0.2808988764044944</v>
      </c>
      <c r="V504" t="str">
        <f t="shared" si="23"/>
        <v>Good Performance</v>
      </c>
    </row>
    <row r="505" spans="1:22" x14ac:dyDescent="0.25">
      <c r="A505" t="s">
        <v>10</v>
      </c>
      <c r="B505" t="s">
        <v>17</v>
      </c>
      <c r="C505" t="s">
        <v>42</v>
      </c>
      <c r="D505" t="s">
        <v>48</v>
      </c>
      <c r="E505">
        <v>1579</v>
      </c>
      <c r="F505">
        <v>250</v>
      </c>
      <c r="G505">
        <v>7</v>
      </c>
      <c r="H505">
        <v>11053</v>
      </c>
      <c r="I505">
        <v>1215.83</v>
      </c>
      <c r="J505">
        <v>9837.17</v>
      </c>
      <c r="K505">
        <v>7895</v>
      </c>
      <c r="L505">
        <v>1942.17</v>
      </c>
      <c r="M505" s="4">
        <v>41699</v>
      </c>
      <c r="N505">
        <v>3</v>
      </c>
      <c r="O505" t="s">
        <v>23</v>
      </c>
      <c r="P505" t="s">
        <v>15</v>
      </c>
      <c r="Q505" s="9">
        <f t="shared" si="21"/>
        <v>0.19743178170144463</v>
      </c>
      <c r="R505" s="9">
        <f t="shared" si="22"/>
        <v>0.8025682182985554</v>
      </c>
      <c r="V505" t="str">
        <f t="shared" si="23"/>
        <v>Good Performance</v>
      </c>
    </row>
    <row r="506" spans="1:22" x14ac:dyDescent="0.25">
      <c r="A506" t="s">
        <v>11</v>
      </c>
      <c r="B506" t="s">
        <v>20</v>
      </c>
      <c r="C506" t="s">
        <v>42</v>
      </c>
      <c r="D506" t="s">
        <v>48</v>
      </c>
      <c r="E506">
        <v>1005</v>
      </c>
      <c r="F506">
        <v>250</v>
      </c>
      <c r="G506">
        <v>12</v>
      </c>
      <c r="H506">
        <v>12060</v>
      </c>
      <c r="I506">
        <v>1326.6</v>
      </c>
      <c r="J506">
        <v>10733.4</v>
      </c>
      <c r="K506">
        <v>3015</v>
      </c>
      <c r="L506">
        <v>7718.4</v>
      </c>
      <c r="M506" s="4">
        <v>41518</v>
      </c>
      <c r="N506">
        <v>9</v>
      </c>
      <c r="O506" t="s">
        <v>29</v>
      </c>
      <c r="P506" t="s">
        <v>14</v>
      </c>
      <c r="Q506" s="9">
        <f t="shared" si="21"/>
        <v>0.7191011235955056</v>
      </c>
      <c r="R506" s="9">
        <f t="shared" si="22"/>
        <v>0.2808988764044944</v>
      </c>
      <c r="V506" t="str">
        <f t="shared" si="23"/>
        <v>Good Performance</v>
      </c>
    </row>
    <row r="507" spans="1:22" x14ac:dyDescent="0.25">
      <c r="A507" t="s">
        <v>8</v>
      </c>
      <c r="B507" t="s">
        <v>17</v>
      </c>
      <c r="C507" t="s">
        <v>43</v>
      </c>
      <c r="D507" t="s">
        <v>48</v>
      </c>
      <c r="E507">
        <v>3199.5</v>
      </c>
      <c r="F507">
        <v>260</v>
      </c>
      <c r="G507">
        <v>15</v>
      </c>
      <c r="H507">
        <v>47992.5</v>
      </c>
      <c r="I507">
        <v>5279.1749999999993</v>
      </c>
      <c r="J507">
        <v>42713.324999999997</v>
      </c>
      <c r="K507">
        <v>31995</v>
      </c>
      <c r="L507">
        <v>10718.324999999999</v>
      </c>
      <c r="M507" s="4">
        <v>41821</v>
      </c>
      <c r="N507">
        <v>7</v>
      </c>
      <c r="O507" t="s">
        <v>27</v>
      </c>
      <c r="P507" t="s">
        <v>15</v>
      </c>
      <c r="Q507" s="9">
        <f t="shared" si="21"/>
        <v>0.25093632958801498</v>
      </c>
      <c r="R507" s="9">
        <f t="shared" si="22"/>
        <v>0.74906367041198507</v>
      </c>
      <c r="V507" t="str">
        <f t="shared" si="23"/>
        <v>Good Performance</v>
      </c>
    </row>
    <row r="508" spans="1:22" x14ac:dyDescent="0.25">
      <c r="A508" t="s">
        <v>11</v>
      </c>
      <c r="B508" t="s">
        <v>19</v>
      </c>
      <c r="C508" t="s">
        <v>43</v>
      </c>
      <c r="D508" t="s">
        <v>48</v>
      </c>
      <c r="E508">
        <v>472</v>
      </c>
      <c r="F508">
        <v>260</v>
      </c>
      <c r="G508">
        <v>12</v>
      </c>
      <c r="H508">
        <v>5664</v>
      </c>
      <c r="I508">
        <v>623.04</v>
      </c>
      <c r="J508">
        <v>5040.96</v>
      </c>
      <c r="K508">
        <v>1416</v>
      </c>
      <c r="L508">
        <v>3624.96</v>
      </c>
      <c r="M508" s="4">
        <v>41913</v>
      </c>
      <c r="N508">
        <v>10</v>
      </c>
      <c r="O508" t="s">
        <v>30</v>
      </c>
      <c r="P508" t="s">
        <v>15</v>
      </c>
      <c r="Q508" s="9">
        <f t="shared" si="21"/>
        <v>0.7191011235955056</v>
      </c>
      <c r="R508" s="9">
        <f t="shared" si="22"/>
        <v>0.2808988764044944</v>
      </c>
      <c r="V508" t="str">
        <f t="shared" si="23"/>
        <v>Good Performance</v>
      </c>
    </row>
    <row r="509" spans="1:22" x14ac:dyDescent="0.25">
      <c r="A509" t="s">
        <v>11</v>
      </c>
      <c r="B509" t="s">
        <v>16</v>
      </c>
      <c r="C509" t="s">
        <v>38</v>
      </c>
      <c r="D509" t="s">
        <v>48</v>
      </c>
      <c r="E509">
        <v>1937</v>
      </c>
      <c r="F509">
        <v>3</v>
      </c>
      <c r="G509">
        <v>12</v>
      </c>
      <c r="H509">
        <v>23244</v>
      </c>
      <c r="I509">
        <v>2556.84</v>
      </c>
      <c r="J509">
        <v>20687.16</v>
      </c>
      <c r="K509">
        <v>5811</v>
      </c>
      <c r="L509">
        <v>14876.16</v>
      </c>
      <c r="M509" s="4">
        <v>41671</v>
      </c>
      <c r="N509">
        <v>2</v>
      </c>
      <c r="O509" t="s">
        <v>22</v>
      </c>
      <c r="P509" t="s">
        <v>15</v>
      </c>
      <c r="Q509" s="9">
        <f t="shared" si="21"/>
        <v>0.7191011235955056</v>
      </c>
      <c r="R509" s="9">
        <f t="shared" si="22"/>
        <v>0.2808988764044944</v>
      </c>
      <c r="V509" t="str">
        <f t="shared" si="23"/>
        <v>Good Performance</v>
      </c>
    </row>
    <row r="510" spans="1:22" x14ac:dyDescent="0.25">
      <c r="A510" t="s">
        <v>10</v>
      </c>
      <c r="B510" t="s">
        <v>19</v>
      </c>
      <c r="C510" t="s">
        <v>38</v>
      </c>
      <c r="D510" t="s">
        <v>48</v>
      </c>
      <c r="E510">
        <v>792</v>
      </c>
      <c r="F510">
        <v>3</v>
      </c>
      <c r="G510">
        <v>350</v>
      </c>
      <c r="H510">
        <v>277200</v>
      </c>
      <c r="I510">
        <v>30492</v>
      </c>
      <c r="J510">
        <v>246708</v>
      </c>
      <c r="K510">
        <v>205920</v>
      </c>
      <c r="L510">
        <v>40788</v>
      </c>
      <c r="M510" s="4">
        <v>41699</v>
      </c>
      <c r="N510">
        <v>3</v>
      </c>
      <c r="O510" t="s">
        <v>23</v>
      </c>
      <c r="P510" t="s">
        <v>15</v>
      </c>
      <c r="Q510" s="9">
        <f t="shared" si="21"/>
        <v>0.1653290529695024</v>
      </c>
      <c r="R510" s="9">
        <f t="shared" si="22"/>
        <v>0.8346709470304976</v>
      </c>
      <c r="V510" t="str">
        <f t="shared" si="23"/>
        <v>Good Performance</v>
      </c>
    </row>
    <row r="511" spans="1:22" x14ac:dyDescent="0.25">
      <c r="A511" t="s">
        <v>7</v>
      </c>
      <c r="B511" t="s">
        <v>19</v>
      </c>
      <c r="C511" t="s">
        <v>38</v>
      </c>
      <c r="D511" t="s">
        <v>48</v>
      </c>
      <c r="E511">
        <v>2811</v>
      </c>
      <c r="F511">
        <v>3</v>
      </c>
      <c r="G511">
        <v>300</v>
      </c>
      <c r="H511">
        <v>843300</v>
      </c>
      <c r="I511">
        <v>92763</v>
      </c>
      <c r="J511">
        <v>750537</v>
      </c>
      <c r="K511">
        <v>702750</v>
      </c>
      <c r="L511">
        <v>47787</v>
      </c>
      <c r="M511" s="4">
        <v>41821</v>
      </c>
      <c r="N511">
        <v>7</v>
      </c>
      <c r="O511" t="s">
        <v>27</v>
      </c>
      <c r="P511" t="s">
        <v>15</v>
      </c>
      <c r="Q511" s="9">
        <f t="shared" si="21"/>
        <v>6.3670411985018729E-2</v>
      </c>
      <c r="R511" s="9">
        <f t="shared" si="22"/>
        <v>0.93632958801498123</v>
      </c>
      <c r="V511" t="str">
        <f t="shared" si="23"/>
        <v>Under Review</v>
      </c>
    </row>
    <row r="512" spans="1:22" x14ac:dyDescent="0.25">
      <c r="A512" t="s">
        <v>9</v>
      </c>
      <c r="B512" t="s">
        <v>18</v>
      </c>
      <c r="C512" t="s">
        <v>38</v>
      </c>
      <c r="D512" t="s">
        <v>48</v>
      </c>
      <c r="E512">
        <v>2441</v>
      </c>
      <c r="F512">
        <v>3</v>
      </c>
      <c r="G512">
        <v>125</v>
      </c>
      <c r="H512">
        <v>305125</v>
      </c>
      <c r="I512">
        <v>33563.75</v>
      </c>
      <c r="J512">
        <v>271561.25</v>
      </c>
      <c r="K512">
        <v>292920</v>
      </c>
      <c r="L512">
        <v>-21358.75</v>
      </c>
      <c r="M512" s="4">
        <v>41913</v>
      </c>
      <c r="N512">
        <v>10</v>
      </c>
      <c r="O512" t="s">
        <v>30</v>
      </c>
      <c r="P512" t="s">
        <v>15</v>
      </c>
      <c r="Q512" s="9">
        <f t="shared" si="21"/>
        <v>-7.8651685393258425E-2</v>
      </c>
      <c r="R512" s="9">
        <f t="shared" si="22"/>
        <v>1.0786516853932584</v>
      </c>
      <c r="V512" t="str">
        <f t="shared" si="23"/>
        <v>Under Review</v>
      </c>
    </row>
    <row r="513" spans="1:22" x14ac:dyDescent="0.25">
      <c r="A513" t="s">
        <v>8</v>
      </c>
      <c r="B513" t="s">
        <v>16</v>
      </c>
      <c r="C513" t="s">
        <v>38</v>
      </c>
      <c r="D513" t="s">
        <v>48</v>
      </c>
      <c r="E513">
        <v>1560</v>
      </c>
      <c r="F513">
        <v>3</v>
      </c>
      <c r="G513">
        <v>15</v>
      </c>
      <c r="H513">
        <v>23400</v>
      </c>
      <c r="I513">
        <v>2574</v>
      </c>
      <c r="J513">
        <v>20826</v>
      </c>
      <c r="K513">
        <v>15600</v>
      </c>
      <c r="L513">
        <v>5226</v>
      </c>
      <c r="M513" s="4">
        <v>41579</v>
      </c>
      <c r="N513">
        <v>11</v>
      </c>
      <c r="O513" t="s">
        <v>31</v>
      </c>
      <c r="P513" t="s">
        <v>14</v>
      </c>
      <c r="Q513" s="9">
        <f t="shared" si="21"/>
        <v>0.25093632958801498</v>
      </c>
      <c r="R513" s="9">
        <f t="shared" si="22"/>
        <v>0.74906367041198507</v>
      </c>
      <c r="V513" t="str">
        <f t="shared" si="23"/>
        <v>Good Performance</v>
      </c>
    </row>
    <row r="514" spans="1:22" x14ac:dyDescent="0.25">
      <c r="A514" t="s">
        <v>10</v>
      </c>
      <c r="B514" t="s">
        <v>20</v>
      </c>
      <c r="C514" t="s">
        <v>38</v>
      </c>
      <c r="D514" t="s">
        <v>48</v>
      </c>
      <c r="E514">
        <v>2706</v>
      </c>
      <c r="F514">
        <v>3</v>
      </c>
      <c r="G514">
        <v>7</v>
      </c>
      <c r="H514">
        <v>18942</v>
      </c>
      <c r="I514">
        <v>2083.62</v>
      </c>
      <c r="J514">
        <v>16858.38</v>
      </c>
      <c r="K514">
        <v>13530</v>
      </c>
      <c r="L514">
        <v>3328.380000000001</v>
      </c>
      <c r="M514" s="4">
        <v>41579</v>
      </c>
      <c r="N514">
        <v>11</v>
      </c>
      <c r="O514" t="s">
        <v>31</v>
      </c>
      <c r="P514" t="s">
        <v>14</v>
      </c>
      <c r="Q514" s="9">
        <f t="shared" si="21"/>
        <v>0.19743178170144468</v>
      </c>
      <c r="R514" s="9">
        <f t="shared" si="22"/>
        <v>0.80256821829855529</v>
      </c>
      <c r="V514" t="str">
        <f t="shared" si="23"/>
        <v>Good Performance</v>
      </c>
    </row>
    <row r="515" spans="1:22" x14ac:dyDescent="0.25">
      <c r="A515" t="s">
        <v>10</v>
      </c>
      <c r="B515" t="s">
        <v>19</v>
      </c>
      <c r="C515" t="s">
        <v>39</v>
      </c>
      <c r="D515" t="s">
        <v>48</v>
      </c>
      <c r="E515">
        <v>766</v>
      </c>
      <c r="F515">
        <v>5</v>
      </c>
      <c r="G515">
        <v>350</v>
      </c>
      <c r="H515">
        <v>268100</v>
      </c>
      <c r="I515">
        <v>29491</v>
      </c>
      <c r="J515">
        <v>238609</v>
      </c>
      <c r="K515">
        <v>199160</v>
      </c>
      <c r="L515">
        <v>39449</v>
      </c>
      <c r="M515" s="4">
        <v>41640</v>
      </c>
      <c r="N515">
        <v>1</v>
      </c>
      <c r="O515" t="s">
        <v>21</v>
      </c>
      <c r="P515" t="s">
        <v>15</v>
      </c>
      <c r="Q515" s="9">
        <f t="shared" ref="Q515:Q578" si="24">L515/J515</f>
        <v>0.1653290529695024</v>
      </c>
      <c r="R515" s="9">
        <f t="shared" ref="R515:R578" si="25">K515/J515</f>
        <v>0.8346709470304976</v>
      </c>
      <c r="V515" t="str">
        <f t="shared" ref="V515:V578" si="26">IF(Q515&lt;0.1, "Under Review", "Good Performance")</f>
        <v>Good Performance</v>
      </c>
    </row>
    <row r="516" spans="1:22" x14ac:dyDescent="0.25">
      <c r="A516" t="s">
        <v>10</v>
      </c>
      <c r="B516" t="s">
        <v>19</v>
      </c>
      <c r="C516" t="s">
        <v>39</v>
      </c>
      <c r="D516" t="s">
        <v>48</v>
      </c>
      <c r="E516">
        <v>2992</v>
      </c>
      <c r="F516">
        <v>5</v>
      </c>
      <c r="G516">
        <v>20</v>
      </c>
      <c r="H516">
        <v>59840</v>
      </c>
      <c r="I516">
        <v>6582.4</v>
      </c>
      <c r="J516">
        <v>53257.599999999999</v>
      </c>
      <c r="K516">
        <v>29920</v>
      </c>
      <c r="L516">
        <v>23337.599999999999</v>
      </c>
      <c r="M516" s="4">
        <v>41548</v>
      </c>
      <c r="N516">
        <v>10</v>
      </c>
      <c r="O516" t="s">
        <v>30</v>
      </c>
      <c r="P516" t="s">
        <v>14</v>
      </c>
      <c r="Q516" s="9">
        <f t="shared" si="24"/>
        <v>0.4382022471910112</v>
      </c>
      <c r="R516" s="9">
        <f t="shared" si="25"/>
        <v>0.5617977528089888</v>
      </c>
      <c r="V516" t="str">
        <f t="shared" si="26"/>
        <v>Good Performance</v>
      </c>
    </row>
    <row r="517" spans="1:22" x14ac:dyDescent="0.25">
      <c r="A517" t="s">
        <v>8</v>
      </c>
      <c r="B517" t="s">
        <v>20</v>
      </c>
      <c r="C517" t="s">
        <v>39</v>
      </c>
      <c r="D517" t="s">
        <v>48</v>
      </c>
      <c r="E517">
        <v>2157</v>
      </c>
      <c r="F517">
        <v>5</v>
      </c>
      <c r="G517">
        <v>15</v>
      </c>
      <c r="H517">
        <v>32355</v>
      </c>
      <c r="I517">
        <v>3559.05</v>
      </c>
      <c r="J517">
        <v>28795.95</v>
      </c>
      <c r="K517">
        <v>21570</v>
      </c>
      <c r="L517">
        <v>7225.9500000000007</v>
      </c>
      <c r="M517" s="4">
        <v>41974</v>
      </c>
      <c r="N517">
        <v>12</v>
      </c>
      <c r="O517" t="s">
        <v>32</v>
      </c>
      <c r="P517" t="s">
        <v>15</v>
      </c>
      <c r="Q517" s="9">
        <f t="shared" si="24"/>
        <v>0.25093632958801498</v>
      </c>
      <c r="R517" s="9">
        <f t="shared" si="25"/>
        <v>0.74906367041198496</v>
      </c>
      <c r="V517" t="str">
        <f t="shared" si="26"/>
        <v>Good Performance</v>
      </c>
    </row>
    <row r="518" spans="1:22" x14ac:dyDescent="0.25">
      <c r="A518" t="s">
        <v>7</v>
      </c>
      <c r="B518" t="s">
        <v>16</v>
      </c>
      <c r="C518" t="s">
        <v>40</v>
      </c>
      <c r="D518" t="s">
        <v>48</v>
      </c>
      <c r="E518">
        <v>873</v>
      </c>
      <c r="F518">
        <v>10</v>
      </c>
      <c r="G518">
        <v>300</v>
      </c>
      <c r="H518">
        <v>261900</v>
      </c>
      <c r="I518">
        <v>28809</v>
      </c>
      <c r="J518">
        <v>233091</v>
      </c>
      <c r="K518">
        <v>218250</v>
      </c>
      <c r="L518">
        <v>14841</v>
      </c>
      <c r="M518" s="4">
        <v>41640</v>
      </c>
      <c r="N518">
        <v>1</v>
      </c>
      <c r="O518" t="s">
        <v>21</v>
      </c>
      <c r="P518" t="s">
        <v>15</v>
      </c>
      <c r="Q518" s="9">
        <f t="shared" si="24"/>
        <v>6.3670411985018729E-2</v>
      </c>
      <c r="R518" s="9">
        <f t="shared" si="25"/>
        <v>0.93632958801498123</v>
      </c>
      <c r="V518" t="str">
        <f t="shared" si="26"/>
        <v>Under Review</v>
      </c>
    </row>
    <row r="519" spans="1:22" x14ac:dyDescent="0.25">
      <c r="A519" t="s">
        <v>10</v>
      </c>
      <c r="B519" t="s">
        <v>20</v>
      </c>
      <c r="C519" t="s">
        <v>40</v>
      </c>
      <c r="D519" t="s">
        <v>48</v>
      </c>
      <c r="E519">
        <v>1122</v>
      </c>
      <c r="F519">
        <v>10</v>
      </c>
      <c r="G519">
        <v>20</v>
      </c>
      <c r="H519">
        <v>22440</v>
      </c>
      <c r="I519">
        <v>2468.4</v>
      </c>
      <c r="J519">
        <v>19971.599999999999</v>
      </c>
      <c r="K519">
        <v>11220</v>
      </c>
      <c r="L519">
        <v>8751.5999999999985</v>
      </c>
      <c r="M519" s="4">
        <v>41699</v>
      </c>
      <c r="N519">
        <v>3</v>
      </c>
      <c r="O519" t="s">
        <v>23</v>
      </c>
      <c r="P519" t="s">
        <v>15</v>
      </c>
      <c r="Q519" s="9">
        <f t="shared" si="24"/>
        <v>0.4382022471910112</v>
      </c>
      <c r="R519" s="9">
        <f t="shared" si="25"/>
        <v>0.5617977528089888</v>
      </c>
      <c r="V519" t="str">
        <f t="shared" si="26"/>
        <v>Good Performance</v>
      </c>
    </row>
    <row r="520" spans="1:22" x14ac:dyDescent="0.25">
      <c r="A520" t="s">
        <v>10</v>
      </c>
      <c r="B520" t="s">
        <v>16</v>
      </c>
      <c r="C520" t="s">
        <v>40</v>
      </c>
      <c r="D520" t="s">
        <v>48</v>
      </c>
      <c r="E520">
        <v>2104.5</v>
      </c>
      <c r="F520">
        <v>10</v>
      </c>
      <c r="G520">
        <v>350</v>
      </c>
      <c r="H520">
        <v>736575</v>
      </c>
      <c r="I520">
        <v>81023.25</v>
      </c>
      <c r="J520">
        <v>655551.75</v>
      </c>
      <c r="K520">
        <v>547170</v>
      </c>
      <c r="L520">
        <v>108381.75</v>
      </c>
      <c r="M520" s="4">
        <v>41821</v>
      </c>
      <c r="N520">
        <v>7</v>
      </c>
      <c r="O520" t="s">
        <v>27</v>
      </c>
      <c r="P520" t="s">
        <v>15</v>
      </c>
      <c r="Q520" s="9">
        <f t="shared" si="24"/>
        <v>0.1653290529695024</v>
      </c>
      <c r="R520" s="9">
        <f t="shared" si="25"/>
        <v>0.8346709470304976</v>
      </c>
      <c r="V520" t="str">
        <f t="shared" si="26"/>
        <v>Good Performance</v>
      </c>
    </row>
    <row r="521" spans="1:22" x14ac:dyDescent="0.25">
      <c r="A521" t="s">
        <v>11</v>
      </c>
      <c r="B521" t="s">
        <v>16</v>
      </c>
      <c r="C521" t="s">
        <v>40</v>
      </c>
      <c r="D521" t="s">
        <v>48</v>
      </c>
      <c r="E521">
        <v>4026</v>
      </c>
      <c r="F521">
        <v>10</v>
      </c>
      <c r="G521">
        <v>12</v>
      </c>
      <c r="H521">
        <v>48312</v>
      </c>
      <c r="I521">
        <v>5314.32</v>
      </c>
      <c r="J521">
        <v>42997.68</v>
      </c>
      <c r="K521">
        <v>12078</v>
      </c>
      <c r="L521">
        <v>30919.68</v>
      </c>
      <c r="M521" s="4">
        <v>41821</v>
      </c>
      <c r="N521">
        <v>7</v>
      </c>
      <c r="O521" t="s">
        <v>27</v>
      </c>
      <c r="P521" t="s">
        <v>15</v>
      </c>
      <c r="Q521" s="9">
        <f t="shared" si="24"/>
        <v>0.7191011235955056</v>
      </c>
      <c r="R521" s="9">
        <f t="shared" si="25"/>
        <v>0.2808988764044944</v>
      </c>
      <c r="V521" t="str">
        <f t="shared" si="26"/>
        <v>Good Performance</v>
      </c>
    </row>
    <row r="522" spans="1:22" x14ac:dyDescent="0.25">
      <c r="A522" t="s">
        <v>11</v>
      </c>
      <c r="B522" t="s">
        <v>18</v>
      </c>
      <c r="C522" t="s">
        <v>40</v>
      </c>
      <c r="D522" t="s">
        <v>48</v>
      </c>
      <c r="E522">
        <v>2425.5</v>
      </c>
      <c r="F522">
        <v>10</v>
      </c>
      <c r="G522">
        <v>12</v>
      </c>
      <c r="H522">
        <v>29106</v>
      </c>
      <c r="I522">
        <v>3201.66</v>
      </c>
      <c r="J522">
        <v>25904.340000000004</v>
      </c>
      <c r="K522">
        <v>7276.5</v>
      </c>
      <c r="L522">
        <v>18627.840000000004</v>
      </c>
      <c r="M522" s="4">
        <v>41821</v>
      </c>
      <c r="N522">
        <v>7</v>
      </c>
      <c r="O522" t="s">
        <v>27</v>
      </c>
      <c r="P522" t="s">
        <v>15</v>
      </c>
      <c r="Q522" s="9">
        <f t="shared" si="24"/>
        <v>0.71910112359550571</v>
      </c>
      <c r="R522" s="9">
        <f t="shared" si="25"/>
        <v>0.28089887640449435</v>
      </c>
      <c r="V522" t="str">
        <f t="shared" si="26"/>
        <v>Good Performance</v>
      </c>
    </row>
    <row r="523" spans="1:22" x14ac:dyDescent="0.25">
      <c r="A523" t="s">
        <v>10</v>
      </c>
      <c r="B523" t="s">
        <v>16</v>
      </c>
      <c r="C523" t="s">
        <v>40</v>
      </c>
      <c r="D523" t="s">
        <v>48</v>
      </c>
      <c r="E523">
        <v>2394</v>
      </c>
      <c r="F523">
        <v>10</v>
      </c>
      <c r="G523">
        <v>20</v>
      </c>
      <c r="H523">
        <v>47880</v>
      </c>
      <c r="I523">
        <v>5266.8</v>
      </c>
      <c r="J523">
        <v>42613.2</v>
      </c>
      <c r="K523">
        <v>23940</v>
      </c>
      <c r="L523">
        <v>18673.199999999997</v>
      </c>
      <c r="M523" s="4">
        <v>41852</v>
      </c>
      <c r="N523">
        <v>8</v>
      </c>
      <c r="O523" t="s">
        <v>28</v>
      </c>
      <c r="P523" t="s">
        <v>15</v>
      </c>
      <c r="Q523" s="9">
        <f t="shared" si="24"/>
        <v>0.4382022471910112</v>
      </c>
      <c r="R523" s="9">
        <f t="shared" si="25"/>
        <v>0.5617977528089888</v>
      </c>
      <c r="V523" t="str">
        <f t="shared" si="26"/>
        <v>Good Performance</v>
      </c>
    </row>
    <row r="524" spans="1:22" x14ac:dyDescent="0.25">
      <c r="A524" t="s">
        <v>8</v>
      </c>
      <c r="B524" t="s">
        <v>20</v>
      </c>
      <c r="C524" t="s">
        <v>40</v>
      </c>
      <c r="D524" t="s">
        <v>48</v>
      </c>
      <c r="E524">
        <v>1984</v>
      </c>
      <c r="F524">
        <v>10</v>
      </c>
      <c r="G524">
        <v>15</v>
      </c>
      <c r="H524">
        <v>29760</v>
      </c>
      <c r="I524">
        <v>3273.6</v>
      </c>
      <c r="J524">
        <v>26486.400000000001</v>
      </c>
      <c r="K524">
        <v>19840</v>
      </c>
      <c r="L524">
        <v>6646.4000000000015</v>
      </c>
      <c r="M524" s="4">
        <v>41852</v>
      </c>
      <c r="N524">
        <v>8</v>
      </c>
      <c r="O524" t="s">
        <v>28</v>
      </c>
      <c r="P524" t="s">
        <v>15</v>
      </c>
      <c r="Q524" s="9">
        <f t="shared" si="24"/>
        <v>0.25093632958801504</v>
      </c>
      <c r="R524" s="9">
        <f t="shared" si="25"/>
        <v>0.74906367041198496</v>
      </c>
      <c r="V524" t="str">
        <f t="shared" si="26"/>
        <v>Good Performance</v>
      </c>
    </row>
    <row r="525" spans="1:22" x14ac:dyDescent="0.25">
      <c r="A525" t="s">
        <v>9</v>
      </c>
      <c r="B525" t="s">
        <v>18</v>
      </c>
      <c r="C525" t="s">
        <v>40</v>
      </c>
      <c r="D525" t="s">
        <v>48</v>
      </c>
      <c r="E525">
        <v>2441</v>
      </c>
      <c r="F525">
        <v>10</v>
      </c>
      <c r="G525">
        <v>125</v>
      </c>
      <c r="H525">
        <v>305125</v>
      </c>
      <c r="I525">
        <v>33563.75</v>
      </c>
      <c r="J525">
        <v>271561.25</v>
      </c>
      <c r="K525">
        <v>292920</v>
      </c>
      <c r="L525">
        <v>-21358.75</v>
      </c>
      <c r="M525" s="4">
        <v>41913</v>
      </c>
      <c r="N525">
        <v>10</v>
      </c>
      <c r="O525" t="s">
        <v>30</v>
      </c>
      <c r="P525" t="s">
        <v>15</v>
      </c>
      <c r="Q525" s="9">
        <f t="shared" si="24"/>
        <v>-7.8651685393258425E-2</v>
      </c>
      <c r="R525" s="9">
        <f t="shared" si="25"/>
        <v>1.0786516853932584</v>
      </c>
      <c r="V525" t="str">
        <f t="shared" si="26"/>
        <v>Under Review</v>
      </c>
    </row>
    <row r="526" spans="1:22" x14ac:dyDescent="0.25">
      <c r="A526" t="s">
        <v>10</v>
      </c>
      <c r="B526" t="s">
        <v>19</v>
      </c>
      <c r="C526" t="s">
        <v>40</v>
      </c>
      <c r="D526" t="s">
        <v>48</v>
      </c>
      <c r="E526">
        <v>2992</v>
      </c>
      <c r="F526">
        <v>10</v>
      </c>
      <c r="G526">
        <v>20</v>
      </c>
      <c r="H526">
        <v>59840</v>
      </c>
      <c r="I526">
        <v>6582.4</v>
      </c>
      <c r="J526">
        <v>53257.599999999999</v>
      </c>
      <c r="K526">
        <v>29920</v>
      </c>
      <c r="L526">
        <v>23337.599999999999</v>
      </c>
      <c r="M526" s="4">
        <v>41548</v>
      </c>
      <c r="N526">
        <v>10</v>
      </c>
      <c r="O526" t="s">
        <v>30</v>
      </c>
      <c r="P526" t="s">
        <v>14</v>
      </c>
      <c r="Q526" s="9">
        <f t="shared" si="24"/>
        <v>0.4382022471910112</v>
      </c>
      <c r="R526" s="9">
        <f t="shared" si="25"/>
        <v>0.5617977528089888</v>
      </c>
      <c r="V526" t="str">
        <f t="shared" si="26"/>
        <v>Good Performance</v>
      </c>
    </row>
    <row r="527" spans="1:22" x14ac:dyDescent="0.25">
      <c r="A527" t="s">
        <v>7</v>
      </c>
      <c r="B527" t="s">
        <v>16</v>
      </c>
      <c r="C527" t="s">
        <v>40</v>
      </c>
      <c r="D527" t="s">
        <v>48</v>
      </c>
      <c r="E527">
        <v>1366</v>
      </c>
      <c r="F527">
        <v>10</v>
      </c>
      <c r="G527">
        <v>300</v>
      </c>
      <c r="H527">
        <v>409800</v>
      </c>
      <c r="I527">
        <v>45078</v>
      </c>
      <c r="J527">
        <v>364722</v>
      </c>
      <c r="K527">
        <v>341500</v>
      </c>
      <c r="L527">
        <v>23222</v>
      </c>
      <c r="M527" s="4">
        <v>41944</v>
      </c>
      <c r="N527">
        <v>11</v>
      </c>
      <c r="O527" t="s">
        <v>31</v>
      </c>
      <c r="P527" t="s">
        <v>15</v>
      </c>
      <c r="Q527" s="9">
        <f t="shared" si="24"/>
        <v>6.3670411985018729E-2</v>
      </c>
      <c r="R527" s="9">
        <f t="shared" si="25"/>
        <v>0.93632958801498123</v>
      </c>
      <c r="V527" t="str">
        <f t="shared" si="26"/>
        <v>Under Review</v>
      </c>
    </row>
    <row r="528" spans="1:22" x14ac:dyDescent="0.25">
      <c r="A528" t="s">
        <v>10</v>
      </c>
      <c r="B528" t="s">
        <v>18</v>
      </c>
      <c r="C528" t="s">
        <v>41</v>
      </c>
      <c r="D528" t="s">
        <v>48</v>
      </c>
      <c r="E528">
        <v>2805</v>
      </c>
      <c r="F528">
        <v>120</v>
      </c>
      <c r="G528">
        <v>20</v>
      </c>
      <c r="H528">
        <v>56100</v>
      </c>
      <c r="I528">
        <v>6171</v>
      </c>
      <c r="J528">
        <v>49929</v>
      </c>
      <c r="K528">
        <v>28050</v>
      </c>
      <c r="L528">
        <v>21879</v>
      </c>
      <c r="M528" s="4">
        <v>41518</v>
      </c>
      <c r="N528">
        <v>9</v>
      </c>
      <c r="O528" t="s">
        <v>29</v>
      </c>
      <c r="P528" t="s">
        <v>14</v>
      </c>
      <c r="Q528" s="9">
        <f t="shared" si="24"/>
        <v>0.43820224719101125</v>
      </c>
      <c r="R528" s="9">
        <f t="shared" si="25"/>
        <v>0.5617977528089888</v>
      </c>
      <c r="V528" t="str">
        <f t="shared" si="26"/>
        <v>Good Performance</v>
      </c>
    </row>
    <row r="529" spans="1:22" x14ac:dyDescent="0.25">
      <c r="A529" t="s">
        <v>8</v>
      </c>
      <c r="B529" t="s">
        <v>20</v>
      </c>
      <c r="C529" t="s">
        <v>41</v>
      </c>
      <c r="D529" t="s">
        <v>48</v>
      </c>
      <c r="E529">
        <v>655</v>
      </c>
      <c r="F529">
        <v>120</v>
      </c>
      <c r="G529">
        <v>15</v>
      </c>
      <c r="H529">
        <v>9825</v>
      </c>
      <c r="I529">
        <v>1080.75</v>
      </c>
      <c r="J529">
        <v>8744.25</v>
      </c>
      <c r="K529">
        <v>6550</v>
      </c>
      <c r="L529">
        <v>2194.25</v>
      </c>
      <c r="M529" s="4">
        <v>41518</v>
      </c>
      <c r="N529">
        <v>9</v>
      </c>
      <c r="O529" t="s">
        <v>29</v>
      </c>
      <c r="P529" t="s">
        <v>14</v>
      </c>
      <c r="Q529" s="9">
        <f t="shared" si="24"/>
        <v>0.25093632958801498</v>
      </c>
      <c r="R529" s="9">
        <f t="shared" si="25"/>
        <v>0.74906367041198507</v>
      </c>
      <c r="V529" t="str">
        <f t="shared" si="26"/>
        <v>Good Performance</v>
      </c>
    </row>
    <row r="530" spans="1:22" x14ac:dyDescent="0.25">
      <c r="A530" t="s">
        <v>10</v>
      </c>
      <c r="B530" t="s">
        <v>20</v>
      </c>
      <c r="C530" t="s">
        <v>41</v>
      </c>
      <c r="D530" t="s">
        <v>48</v>
      </c>
      <c r="E530">
        <v>344</v>
      </c>
      <c r="F530">
        <v>120</v>
      </c>
      <c r="G530">
        <v>350</v>
      </c>
      <c r="H530">
        <v>120400</v>
      </c>
      <c r="I530">
        <v>13244</v>
      </c>
      <c r="J530">
        <v>107156</v>
      </c>
      <c r="K530">
        <v>89440</v>
      </c>
      <c r="L530">
        <v>17716</v>
      </c>
      <c r="M530" s="4">
        <v>41548</v>
      </c>
      <c r="N530">
        <v>10</v>
      </c>
      <c r="O530" t="s">
        <v>30</v>
      </c>
      <c r="P530" t="s">
        <v>14</v>
      </c>
      <c r="Q530" s="9">
        <f t="shared" si="24"/>
        <v>0.1653290529695024</v>
      </c>
      <c r="R530" s="9">
        <f t="shared" si="25"/>
        <v>0.8346709470304976</v>
      </c>
      <c r="V530" t="str">
        <f t="shared" si="26"/>
        <v>Good Performance</v>
      </c>
    </row>
    <row r="531" spans="1:22" x14ac:dyDescent="0.25">
      <c r="A531" t="s">
        <v>10</v>
      </c>
      <c r="B531" t="s">
        <v>16</v>
      </c>
      <c r="C531" t="s">
        <v>41</v>
      </c>
      <c r="D531" t="s">
        <v>48</v>
      </c>
      <c r="E531">
        <v>1808</v>
      </c>
      <c r="F531">
        <v>120</v>
      </c>
      <c r="G531">
        <v>7</v>
      </c>
      <c r="H531">
        <v>12656</v>
      </c>
      <c r="I531">
        <v>1392.16</v>
      </c>
      <c r="J531">
        <v>11263.84</v>
      </c>
      <c r="K531">
        <v>9040</v>
      </c>
      <c r="L531">
        <v>2223.84</v>
      </c>
      <c r="M531" s="4">
        <v>41944</v>
      </c>
      <c r="N531">
        <v>11</v>
      </c>
      <c r="O531" t="s">
        <v>31</v>
      </c>
      <c r="P531" t="s">
        <v>15</v>
      </c>
      <c r="Q531" s="9">
        <f t="shared" si="24"/>
        <v>0.19743178170144463</v>
      </c>
      <c r="R531" s="9">
        <f t="shared" si="25"/>
        <v>0.8025682182985554</v>
      </c>
      <c r="V531" t="str">
        <f t="shared" si="26"/>
        <v>Good Performance</v>
      </c>
    </row>
    <row r="532" spans="1:22" x14ac:dyDescent="0.25">
      <c r="A532" t="s">
        <v>11</v>
      </c>
      <c r="B532" t="s">
        <v>18</v>
      </c>
      <c r="C532" t="s">
        <v>42</v>
      </c>
      <c r="D532" t="s">
        <v>48</v>
      </c>
      <c r="E532">
        <v>1734</v>
      </c>
      <c r="F532">
        <v>250</v>
      </c>
      <c r="G532">
        <v>12</v>
      </c>
      <c r="H532">
        <v>20808</v>
      </c>
      <c r="I532">
        <v>2288.88</v>
      </c>
      <c r="J532">
        <v>18519.12</v>
      </c>
      <c r="K532">
        <v>5202</v>
      </c>
      <c r="L532">
        <v>13317.119999999999</v>
      </c>
      <c r="M532" s="4">
        <v>41640</v>
      </c>
      <c r="N532">
        <v>1</v>
      </c>
      <c r="O532" t="s">
        <v>21</v>
      </c>
      <c r="P532" t="s">
        <v>15</v>
      </c>
      <c r="Q532" s="9">
        <f t="shared" si="24"/>
        <v>0.7191011235955056</v>
      </c>
      <c r="R532" s="9">
        <f t="shared" si="25"/>
        <v>0.2808988764044944</v>
      </c>
      <c r="V532" t="str">
        <f t="shared" si="26"/>
        <v>Good Performance</v>
      </c>
    </row>
    <row r="533" spans="1:22" x14ac:dyDescent="0.25">
      <c r="A533" t="s">
        <v>9</v>
      </c>
      <c r="B533" t="s">
        <v>20</v>
      </c>
      <c r="C533" t="s">
        <v>42</v>
      </c>
      <c r="D533" t="s">
        <v>48</v>
      </c>
      <c r="E533">
        <v>554</v>
      </c>
      <c r="F533">
        <v>250</v>
      </c>
      <c r="G533">
        <v>125</v>
      </c>
      <c r="H533">
        <v>69250</v>
      </c>
      <c r="I533">
        <v>7617.5</v>
      </c>
      <c r="J533">
        <v>61632.5</v>
      </c>
      <c r="K533">
        <v>66480</v>
      </c>
      <c r="L533">
        <v>-4847.5</v>
      </c>
      <c r="M533" s="4">
        <v>41640</v>
      </c>
      <c r="N533">
        <v>1</v>
      </c>
      <c r="O533" t="s">
        <v>21</v>
      </c>
      <c r="P533" t="s">
        <v>15</v>
      </c>
      <c r="Q533" s="9">
        <f t="shared" si="24"/>
        <v>-7.8651685393258425E-2</v>
      </c>
      <c r="R533" s="9">
        <f t="shared" si="25"/>
        <v>1.0786516853932584</v>
      </c>
      <c r="V533" t="str">
        <f t="shared" si="26"/>
        <v>Under Review</v>
      </c>
    </row>
    <row r="534" spans="1:22" x14ac:dyDescent="0.25">
      <c r="A534" t="s">
        <v>10</v>
      </c>
      <c r="B534" t="s">
        <v>16</v>
      </c>
      <c r="C534" t="s">
        <v>42</v>
      </c>
      <c r="D534" t="s">
        <v>48</v>
      </c>
      <c r="E534">
        <v>2935</v>
      </c>
      <c r="F534">
        <v>250</v>
      </c>
      <c r="G534">
        <v>20</v>
      </c>
      <c r="H534">
        <v>58700</v>
      </c>
      <c r="I534">
        <v>6457</v>
      </c>
      <c r="J534">
        <v>52243</v>
      </c>
      <c r="K534">
        <v>29350</v>
      </c>
      <c r="L534">
        <v>22893</v>
      </c>
      <c r="M534" s="4">
        <v>41579</v>
      </c>
      <c r="N534">
        <v>11</v>
      </c>
      <c r="O534" t="s">
        <v>31</v>
      </c>
      <c r="P534" t="s">
        <v>14</v>
      </c>
      <c r="Q534" s="9">
        <f t="shared" si="24"/>
        <v>0.43820224719101125</v>
      </c>
      <c r="R534" s="9">
        <f t="shared" si="25"/>
        <v>0.5617977528089888</v>
      </c>
      <c r="V534" t="str">
        <f t="shared" si="26"/>
        <v>Good Performance</v>
      </c>
    </row>
    <row r="535" spans="1:22" x14ac:dyDescent="0.25">
      <c r="A535" t="s">
        <v>9</v>
      </c>
      <c r="B535" t="s">
        <v>19</v>
      </c>
      <c r="C535" t="s">
        <v>43</v>
      </c>
      <c r="D535" t="s">
        <v>48</v>
      </c>
      <c r="E535">
        <v>3165</v>
      </c>
      <c r="F535">
        <v>260</v>
      </c>
      <c r="G535">
        <v>125</v>
      </c>
      <c r="H535">
        <v>395625</v>
      </c>
      <c r="I535">
        <v>43518.75</v>
      </c>
      <c r="J535">
        <v>352106.25</v>
      </c>
      <c r="K535">
        <v>379800</v>
      </c>
      <c r="L535">
        <v>-27693.75</v>
      </c>
      <c r="M535" s="4">
        <v>41640</v>
      </c>
      <c r="N535">
        <v>1</v>
      </c>
      <c r="O535" t="s">
        <v>21</v>
      </c>
      <c r="P535" t="s">
        <v>15</v>
      </c>
      <c r="Q535" s="9">
        <f t="shared" si="24"/>
        <v>-7.8651685393258425E-2</v>
      </c>
      <c r="R535" s="9">
        <f t="shared" si="25"/>
        <v>1.0786516853932584</v>
      </c>
      <c r="V535" t="str">
        <f t="shared" si="26"/>
        <v>Under Review</v>
      </c>
    </row>
    <row r="536" spans="1:22" x14ac:dyDescent="0.25">
      <c r="A536" t="s">
        <v>10</v>
      </c>
      <c r="B536" t="s">
        <v>20</v>
      </c>
      <c r="C536" t="s">
        <v>43</v>
      </c>
      <c r="D536" t="s">
        <v>48</v>
      </c>
      <c r="E536">
        <v>2629</v>
      </c>
      <c r="F536">
        <v>260</v>
      </c>
      <c r="G536">
        <v>20</v>
      </c>
      <c r="H536">
        <v>52580</v>
      </c>
      <c r="I536">
        <v>5783.8</v>
      </c>
      <c r="J536">
        <v>46796.2</v>
      </c>
      <c r="K536">
        <v>26290</v>
      </c>
      <c r="L536">
        <v>20506.199999999997</v>
      </c>
      <c r="M536" s="4">
        <v>41640</v>
      </c>
      <c r="N536">
        <v>1</v>
      </c>
      <c r="O536" t="s">
        <v>21</v>
      </c>
      <c r="P536" t="s">
        <v>15</v>
      </c>
      <c r="Q536" s="9">
        <f t="shared" si="24"/>
        <v>0.4382022471910112</v>
      </c>
      <c r="R536" s="9">
        <f t="shared" si="25"/>
        <v>0.5617977528089888</v>
      </c>
      <c r="V536" t="str">
        <f t="shared" si="26"/>
        <v>Good Performance</v>
      </c>
    </row>
    <row r="537" spans="1:22" x14ac:dyDescent="0.25">
      <c r="A537" t="s">
        <v>9</v>
      </c>
      <c r="B537" t="s">
        <v>18</v>
      </c>
      <c r="C537" t="s">
        <v>43</v>
      </c>
      <c r="D537" t="s">
        <v>48</v>
      </c>
      <c r="E537">
        <v>1433</v>
      </c>
      <c r="F537">
        <v>260</v>
      </c>
      <c r="G537">
        <v>125</v>
      </c>
      <c r="H537">
        <v>179125</v>
      </c>
      <c r="I537">
        <v>19703.75</v>
      </c>
      <c r="J537">
        <v>159421.25</v>
      </c>
      <c r="K537">
        <v>171960</v>
      </c>
      <c r="L537">
        <v>-12538.75</v>
      </c>
      <c r="M537" s="4">
        <v>41760</v>
      </c>
      <c r="N537">
        <v>5</v>
      </c>
      <c r="O537" t="s">
        <v>25</v>
      </c>
      <c r="P537" t="s">
        <v>15</v>
      </c>
      <c r="Q537" s="9">
        <f t="shared" si="24"/>
        <v>-7.8651685393258425E-2</v>
      </c>
      <c r="R537" s="9">
        <f t="shared" si="25"/>
        <v>1.0786516853932584</v>
      </c>
      <c r="V537" t="str">
        <f t="shared" si="26"/>
        <v>Under Review</v>
      </c>
    </row>
    <row r="538" spans="1:22" x14ac:dyDescent="0.25">
      <c r="A538" t="s">
        <v>9</v>
      </c>
      <c r="B538" t="s">
        <v>20</v>
      </c>
      <c r="C538" t="s">
        <v>43</v>
      </c>
      <c r="D538" t="s">
        <v>48</v>
      </c>
      <c r="E538">
        <v>947</v>
      </c>
      <c r="F538">
        <v>260</v>
      </c>
      <c r="G538">
        <v>125</v>
      </c>
      <c r="H538">
        <v>118375</v>
      </c>
      <c r="I538">
        <v>13021.25</v>
      </c>
      <c r="J538">
        <v>105353.75</v>
      </c>
      <c r="K538">
        <v>113640</v>
      </c>
      <c r="L538">
        <v>-8286.25</v>
      </c>
      <c r="M538" s="4">
        <v>41518</v>
      </c>
      <c r="N538">
        <v>9</v>
      </c>
      <c r="O538" t="s">
        <v>29</v>
      </c>
      <c r="P538" t="s">
        <v>14</v>
      </c>
      <c r="Q538" s="9">
        <f t="shared" si="24"/>
        <v>-7.8651685393258425E-2</v>
      </c>
      <c r="R538" s="9">
        <f t="shared" si="25"/>
        <v>1.0786516853932584</v>
      </c>
      <c r="V538" t="str">
        <f t="shared" si="26"/>
        <v>Under Review</v>
      </c>
    </row>
    <row r="539" spans="1:22" x14ac:dyDescent="0.25">
      <c r="A539" t="s">
        <v>10</v>
      </c>
      <c r="B539" t="s">
        <v>20</v>
      </c>
      <c r="C539" t="s">
        <v>43</v>
      </c>
      <c r="D539" t="s">
        <v>48</v>
      </c>
      <c r="E539">
        <v>344</v>
      </c>
      <c r="F539">
        <v>260</v>
      </c>
      <c r="G539">
        <v>350</v>
      </c>
      <c r="H539">
        <v>120400</v>
      </c>
      <c r="I539">
        <v>13244</v>
      </c>
      <c r="J539">
        <v>107156</v>
      </c>
      <c r="K539">
        <v>89440</v>
      </c>
      <c r="L539">
        <v>17716</v>
      </c>
      <c r="M539" s="4">
        <v>41548</v>
      </c>
      <c r="N539">
        <v>10</v>
      </c>
      <c r="O539" t="s">
        <v>30</v>
      </c>
      <c r="P539" t="s">
        <v>14</v>
      </c>
      <c r="Q539" s="9">
        <f t="shared" si="24"/>
        <v>0.1653290529695024</v>
      </c>
      <c r="R539" s="9">
        <f t="shared" si="25"/>
        <v>0.8346709470304976</v>
      </c>
      <c r="V539" t="str">
        <f t="shared" si="26"/>
        <v>Good Performance</v>
      </c>
    </row>
    <row r="540" spans="1:22" x14ac:dyDescent="0.25">
      <c r="A540" t="s">
        <v>8</v>
      </c>
      <c r="B540" t="s">
        <v>20</v>
      </c>
      <c r="C540" t="s">
        <v>43</v>
      </c>
      <c r="D540" t="s">
        <v>48</v>
      </c>
      <c r="E540">
        <v>2157</v>
      </c>
      <c r="F540">
        <v>260</v>
      </c>
      <c r="G540">
        <v>15</v>
      </c>
      <c r="H540">
        <v>32355</v>
      </c>
      <c r="I540">
        <v>3559.05</v>
      </c>
      <c r="J540">
        <v>28795.95</v>
      </c>
      <c r="K540">
        <v>21570</v>
      </c>
      <c r="L540">
        <v>7225.9500000000007</v>
      </c>
      <c r="M540" s="4">
        <v>41974</v>
      </c>
      <c r="N540">
        <v>12</v>
      </c>
      <c r="O540" t="s">
        <v>32</v>
      </c>
      <c r="P540" t="s">
        <v>15</v>
      </c>
      <c r="Q540" s="9">
        <f t="shared" si="24"/>
        <v>0.25093632958801498</v>
      </c>
      <c r="R540" s="9">
        <f t="shared" si="25"/>
        <v>0.74906367041198496</v>
      </c>
      <c r="V540" t="str">
        <f t="shared" si="26"/>
        <v>Good Performance</v>
      </c>
    </row>
    <row r="541" spans="1:22" x14ac:dyDescent="0.25">
      <c r="A541" t="s">
        <v>10</v>
      </c>
      <c r="B541" t="s">
        <v>17</v>
      </c>
      <c r="C541" t="s">
        <v>40</v>
      </c>
      <c r="D541" t="s">
        <v>48</v>
      </c>
      <c r="E541">
        <v>380</v>
      </c>
      <c r="F541">
        <v>10</v>
      </c>
      <c r="G541">
        <v>7</v>
      </c>
      <c r="H541">
        <v>2660</v>
      </c>
      <c r="I541">
        <v>292.60000000000002</v>
      </c>
      <c r="J541">
        <v>2367.4</v>
      </c>
      <c r="K541">
        <v>1900</v>
      </c>
      <c r="L541">
        <v>467.40000000000009</v>
      </c>
      <c r="M541" s="4">
        <v>41518</v>
      </c>
      <c r="N541">
        <v>9</v>
      </c>
      <c r="O541" t="s">
        <v>29</v>
      </c>
      <c r="P541" t="s">
        <v>14</v>
      </c>
      <c r="Q541" s="9">
        <f t="shared" si="24"/>
        <v>0.19743178170144465</v>
      </c>
      <c r="R541" s="9">
        <f t="shared" si="25"/>
        <v>0.80256821829855529</v>
      </c>
      <c r="V541" t="str">
        <f t="shared" si="26"/>
        <v>Good Performance</v>
      </c>
    </row>
    <row r="542" spans="1:22" x14ac:dyDescent="0.25">
      <c r="A542" t="s">
        <v>10</v>
      </c>
      <c r="B542" t="s">
        <v>20</v>
      </c>
      <c r="C542" t="s">
        <v>38</v>
      </c>
      <c r="D542" t="s">
        <v>48</v>
      </c>
      <c r="E542">
        <v>886</v>
      </c>
      <c r="F542">
        <v>3</v>
      </c>
      <c r="G542">
        <v>350</v>
      </c>
      <c r="H542">
        <v>310100</v>
      </c>
      <c r="I542">
        <v>37212</v>
      </c>
      <c r="J542">
        <v>272888</v>
      </c>
      <c r="K542">
        <v>230360</v>
      </c>
      <c r="L542">
        <v>42528</v>
      </c>
      <c r="M542" s="4">
        <v>41791</v>
      </c>
      <c r="N542">
        <v>6</v>
      </c>
      <c r="O542" t="s">
        <v>26</v>
      </c>
      <c r="P542" t="s">
        <v>15</v>
      </c>
      <c r="Q542" s="9">
        <f t="shared" si="24"/>
        <v>0.15584415584415584</v>
      </c>
      <c r="R542" s="9">
        <f t="shared" si="25"/>
        <v>0.8441558441558441</v>
      </c>
      <c r="V542" t="str">
        <f t="shared" si="26"/>
        <v>Good Performance</v>
      </c>
    </row>
    <row r="543" spans="1:22" x14ac:dyDescent="0.25">
      <c r="A543" t="s">
        <v>9</v>
      </c>
      <c r="B543" t="s">
        <v>16</v>
      </c>
      <c r="C543" t="s">
        <v>38</v>
      </c>
      <c r="D543" t="s">
        <v>48</v>
      </c>
      <c r="E543">
        <v>2416</v>
      </c>
      <c r="F543">
        <v>3</v>
      </c>
      <c r="G543">
        <v>125</v>
      </c>
      <c r="H543">
        <v>302000</v>
      </c>
      <c r="I543">
        <v>36240</v>
      </c>
      <c r="J543">
        <v>265760</v>
      </c>
      <c r="K543">
        <v>289920</v>
      </c>
      <c r="L543">
        <v>-24160</v>
      </c>
      <c r="M543" s="4">
        <v>41518</v>
      </c>
      <c r="N543">
        <v>9</v>
      </c>
      <c r="O543" t="s">
        <v>29</v>
      </c>
      <c r="P543" t="s">
        <v>14</v>
      </c>
      <c r="Q543" s="9">
        <f t="shared" si="24"/>
        <v>-9.0909090909090912E-2</v>
      </c>
      <c r="R543" s="9">
        <f t="shared" si="25"/>
        <v>1.0909090909090908</v>
      </c>
      <c r="V543" t="str">
        <f t="shared" si="26"/>
        <v>Under Review</v>
      </c>
    </row>
    <row r="544" spans="1:22" x14ac:dyDescent="0.25">
      <c r="A544" t="s">
        <v>9</v>
      </c>
      <c r="B544" t="s">
        <v>20</v>
      </c>
      <c r="C544" t="s">
        <v>38</v>
      </c>
      <c r="D544" t="s">
        <v>48</v>
      </c>
      <c r="E544">
        <v>2156</v>
      </c>
      <c r="F544">
        <v>3</v>
      </c>
      <c r="G544">
        <v>125</v>
      </c>
      <c r="H544">
        <v>269500</v>
      </c>
      <c r="I544">
        <v>32340</v>
      </c>
      <c r="J544">
        <v>237160</v>
      </c>
      <c r="K544">
        <v>258720</v>
      </c>
      <c r="L544">
        <v>-21560</v>
      </c>
      <c r="M544" s="4">
        <v>41913</v>
      </c>
      <c r="N544">
        <v>10</v>
      </c>
      <c r="O544" t="s">
        <v>30</v>
      </c>
      <c r="P544" t="s">
        <v>15</v>
      </c>
      <c r="Q544" s="9">
        <f t="shared" si="24"/>
        <v>-9.0909090909090912E-2</v>
      </c>
      <c r="R544" s="9">
        <f t="shared" si="25"/>
        <v>1.0909090909090908</v>
      </c>
      <c r="V544" t="str">
        <f t="shared" si="26"/>
        <v>Under Review</v>
      </c>
    </row>
    <row r="545" spans="1:22" x14ac:dyDescent="0.25">
      <c r="A545" t="s">
        <v>8</v>
      </c>
      <c r="B545" t="s">
        <v>16</v>
      </c>
      <c r="C545" t="s">
        <v>38</v>
      </c>
      <c r="D545" t="s">
        <v>48</v>
      </c>
      <c r="E545">
        <v>2689</v>
      </c>
      <c r="F545">
        <v>3</v>
      </c>
      <c r="G545">
        <v>15</v>
      </c>
      <c r="H545">
        <v>40335</v>
      </c>
      <c r="I545">
        <v>4840.2</v>
      </c>
      <c r="J545">
        <v>35494.800000000003</v>
      </c>
      <c r="K545">
        <v>26890</v>
      </c>
      <c r="L545">
        <v>8604.8000000000029</v>
      </c>
      <c r="M545" s="4">
        <v>41944</v>
      </c>
      <c r="N545">
        <v>11</v>
      </c>
      <c r="O545" t="s">
        <v>31</v>
      </c>
      <c r="P545" t="s">
        <v>15</v>
      </c>
      <c r="Q545" s="9">
        <f t="shared" si="24"/>
        <v>0.24242424242424249</v>
      </c>
      <c r="R545" s="9">
        <f t="shared" si="25"/>
        <v>0.75757575757575757</v>
      </c>
      <c r="V545" t="str">
        <f t="shared" si="26"/>
        <v>Good Performance</v>
      </c>
    </row>
    <row r="546" spans="1:22" x14ac:dyDescent="0.25">
      <c r="A546" t="s">
        <v>8</v>
      </c>
      <c r="B546" t="s">
        <v>17</v>
      </c>
      <c r="C546" t="s">
        <v>39</v>
      </c>
      <c r="D546" t="s">
        <v>48</v>
      </c>
      <c r="E546">
        <v>677</v>
      </c>
      <c r="F546">
        <v>5</v>
      </c>
      <c r="G546">
        <v>15</v>
      </c>
      <c r="H546">
        <v>10155</v>
      </c>
      <c r="I546">
        <v>1218.5999999999999</v>
      </c>
      <c r="J546">
        <v>8936.4</v>
      </c>
      <c r="K546">
        <v>6770</v>
      </c>
      <c r="L546">
        <v>2166.3999999999996</v>
      </c>
      <c r="M546" s="4">
        <v>41699</v>
      </c>
      <c r="N546">
        <v>3</v>
      </c>
      <c r="O546" t="s">
        <v>23</v>
      </c>
      <c r="P546" t="s">
        <v>15</v>
      </c>
      <c r="Q546" s="9">
        <f t="shared" si="24"/>
        <v>0.2424242424242424</v>
      </c>
      <c r="R546" s="9">
        <f t="shared" si="25"/>
        <v>0.75757575757575757</v>
      </c>
      <c r="V546" t="str">
        <f t="shared" si="26"/>
        <v>Good Performance</v>
      </c>
    </row>
    <row r="547" spans="1:22" x14ac:dyDescent="0.25">
      <c r="A547" t="s">
        <v>7</v>
      </c>
      <c r="B547" t="s">
        <v>18</v>
      </c>
      <c r="C547" t="s">
        <v>39</v>
      </c>
      <c r="D547" t="s">
        <v>48</v>
      </c>
      <c r="E547">
        <v>1773</v>
      </c>
      <c r="F547">
        <v>5</v>
      </c>
      <c r="G547">
        <v>300</v>
      </c>
      <c r="H547">
        <v>531900</v>
      </c>
      <c r="I547">
        <v>63828</v>
      </c>
      <c r="J547">
        <v>468072</v>
      </c>
      <c r="K547">
        <v>443250</v>
      </c>
      <c r="L547">
        <v>24822</v>
      </c>
      <c r="M547" s="4">
        <v>41730</v>
      </c>
      <c r="N547">
        <v>4</v>
      </c>
      <c r="O547" t="s">
        <v>24</v>
      </c>
      <c r="P547" t="s">
        <v>15</v>
      </c>
      <c r="Q547" s="9">
        <f t="shared" si="24"/>
        <v>5.3030303030303032E-2</v>
      </c>
      <c r="R547" s="9">
        <f t="shared" si="25"/>
        <v>0.94696969696969702</v>
      </c>
      <c r="V547" t="str">
        <f t="shared" si="26"/>
        <v>Under Review</v>
      </c>
    </row>
    <row r="548" spans="1:22" x14ac:dyDescent="0.25">
      <c r="A548" t="s">
        <v>10</v>
      </c>
      <c r="B548" t="s">
        <v>20</v>
      </c>
      <c r="C548" t="s">
        <v>39</v>
      </c>
      <c r="D548" t="s">
        <v>48</v>
      </c>
      <c r="E548">
        <v>2420</v>
      </c>
      <c r="F548">
        <v>5</v>
      </c>
      <c r="G548">
        <v>7</v>
      </c>
      <c r="H548">
        <v>16940</v>
      </c>
      <c r="I548">
        <v>2032.8</v>
      </c>
      <c r="J548">
        <v>14907.2</v>
      </c>
      <c r="K548">
        <v>12100</v>
      </c>
      <c r="L548">
        <v>2807.2000000000007</v>
      </c>
      <c r="M548" s="4">
        <v>41883</v>
      </c>
      <c r="N548">
        <v>9</v>
      </c>
      <c r="O548" t="s">
        <v>29</v>
      </c>
      <c r="P548" t="s">
        <v>15</v>
      </c>
      <c r="Q548" s="9">
        <f t="shared" si="24"/>
        <v>0.18831168831168835</v>
      </c>
      <c r="R548" s="9">
        <f t="shared" si="25"/>
        <v>0.81168831168831168</v>
      </c>
      <c r="V548" t="str">
        <f t="shared" si="26"/>
        <v>Good Performance</v>
      </c>
    </row>
    <row r="549" spans="1:22" x14ac:dyDescent="0.25">
      <c r="A549" t="s">
        <v>10</v>
      </c>
      <c r="B549" t="s">
        <v>16</v>
      </c>
      <c r="C549" t="s">
        <v>39</v>
      </c>
      <c r="D549" t="s">
        <v>48</v>
      </c>
      <c r="E549">
        <v>2734</v>
      </c>
      <c r="F549">
        <v>5</v>
      </c>
      <c r="G549">
        <v>7</v>
      </c>
      <c r="H549">
        <v>19138</v>
      </c>
      <c r="I549">
        <v>2296.56</v>
      </c>
      <c r="J549">
        <v>16841.439999999999</v>
      </c>
      <c r="K549">
        <v>13670</v>
      </c>
      <c r="L549">
        <v>3171.4399999999987</v>
      </c>
      <c r="M549" s="4">
        <v>41913</v>
      </c>
      <c r="N549">
        <v>10</v>
      </c>
      <c r="O549" t="s">
        <v>30</v>
      </c>
      <c r="P549" t="s">
        <v>15</v>
      </c>
      <c r="Q549" s="9">
        <f t="shared" si="24"/>
        <v>0.18831168831168824</v>
      </c>
      <c r="R549" s="9">
        <f t="shared" si="25"/>
        <v>0.81168831168831179</v>
      </c>
      <c r="V549" t="str">
        <f t="shared" si="26"/>
        <v>Good Performance</v>
      </c>
    </row>
    <row r="550" spans="1:22" x14ac:dyDescent="0.25">
      <c r="A550" t="s">
        <v>10</v>
      </c>
      <c r="B550" t="s">
        <v>20</v>
      </c>
      <c r="C550" t="s">
        <v>39</v>
      </c>
      <c r="D550" t="s">
        <v>48</v>
      </c>
      <c r="E550">
        <v>1715</v>
      </c>
      <c r="F550">
        <v>5</v>
      </c>
      <c r="G550">
        <v>20</v>
      </c>
      <c r="H550">
        <v>34300</v>
      </c>
      <c r="I550">
        <v>4116</v>
      </c>
      <c r="J550">
        <v>30184</v>
      </c>
      <c r="K550">
        <v>17150</v>
      </c>
      <c r="L550">
        <v>13034</v>
      </c>
      <c r="M550" s="4">
        <v>41548</v>
      </c>
      <c r="N550">
        <v>10</v>
      </c>
      <c r="O550" t="s">
        <v>30</v>
      </c>
      <c r="P550" t="s">
        <v>14</v>
      </c>
      <c r="Q550" s="9">
        <f t="shared" si="24"/>
        <v>0.43181818181818182</v>
      </c>
      <c r="R550" s="9">
        <f t="shared" si="25"/>
        <v>0.56818181818181823</v>
      </c>
      <c r="V550" t="str">
        <f t="shared" si="26"/>
        <v>Good Performance</v>
      </c>
    </row>
    <row r="551" spans="1:22" x14ac:dyDescent="0.25">
      <c r="A551" t="s">
        <v>7</v>
      </c>
      <c r="B551" t="s">
        <v>18</v>
      </c>
      <c r="C551" t="s">
        <v>39</v>
      </c>
      <c r="D551" t="s">
        <v>48</v>
      </c>
      <c r="E551">
        <v>1186</v>
      </c>
      <c r="F551">
        <v>5</v>
      </c>
      <c r="G551">
        <v>300</v>
      </c>
      <c r="H551">
        <v>355800</v>
      </c>
      <c r="I551">
        <v>42696</v>
      </c>
      <c r="J551">
        <v>313104</v>
      </c>
      <c r="K551">
        <v>296500</v>
      </c>
      <c r="L551">
        <v>16604</v>
      </c>
      <c r="M551" s="4">
        <v>41609</v>
      </c>
      <c r="N551">
        <v>12</v>
      </c>
      <c r="O551" t="s">
        <v>32</v>
      </c>
      <c r="P551" t="s">
        <v>14</v>
      </c>
      <c r="Q551" s="9">
        <f t="shared" si="24"/>
        <v>5.3030303030303032E-2</v>
      </c>
      <c r="R551" s="9">
        <f t="shared" si="25"/>
        <v>0.94696969696969702</v>
      </c>
      <c r="V551" t="str">
        <f t="shared" si="26"/>
        <v>Under Review</v>
      </c>
    </row>
    <row r="552" spans="1:22" x14ac:dyDescent="0.25">
      <c r="A552" t="s">
        <v>7</v>
      </c>
      <c r="B552" t="s">
        <v>17</v>
      </c>
      <c r="C552" t="s">
        <v>40</v>
      </c>
      <c r="D552" t="s">
        <v>48</v>
      </c>
      <c r="E552">
        <v>3495</v>
      </c>
      <c r="F552">
        <v>10</v>
      </c>
      <c r="G552">
        <v>300</v>
      </c>
      <c r="H552">
        <v>1048500</v>
      </c>
      <c r="I552">
        <v>125820</v>
      </c>
      <c r="J552">
        <v>922680</v>
      </c>
      <c r="K552">
        <v>873750</v>
      </c>
      <c r="L552">
        <v>48930</v>
      </c>
      <c r="M552" s="4">
        <v>41640</v>
      </c>
      <c r="N552">
        <v>1</v>
      </c>
      <c r="O552" t="s">
        <v>21</v>
      </c>
      <c r="P552" t="s">
        <v>15</v>
      </c>
      <c r="Q552" s="9">
        <f t="shared" si="24"/>
        <v>5.3030303030303032E-2</v>
      </c>
      <c r="R552" s="9">
        <f t="shared" si="25"/>
        <v>0.94696969696969702</v>
      </c>
      <c r="V552" t="str">
        <f t="shared" si="26"/>
        <v>Under Review</v>
      </c>
    </row>
    <row r="553" spans="1:22" x14ac:dyDescent="0.25">
      <c r="A553" t="s">
        <v>10</v>
      </c>
      <c r="B553" t="s">
        <v>20</v>
      </c>
      <c r="C553" t="s">
        <v>40</v>
      </c>
      <c r="D553" t="s">
        <v>48</v>
      </c>
      <c r="E553">
        <v>886</v>
      </c>
      <c r="F553">
        <v>10</v>
      </c>
      <c r="G553">
        <v>350</v>
      </c>
      <c r="H553">
        <v>310100</v>
      </c>
      <c r="I553">
        <v>37212</v>
      </c>
      <c r="J553">
        <v>272888</v>
      </c>
      <c r="K553">
        <v>230360</v>
      </c>
      <c r="L553">
        <v>42528</v>
      </c>
      <c r="M553" s="4">
        <v>41791</v>
      </c>
      <c r="N553">
        <v>6</v>
      </c>
      <c r="O553" t="s">
        <v>26</v>
      </c>
      <c r="P553" t="s">
        <v>15</v>
      </c>
      <c r="Q553" s="9">
        <f t="shared" si="24"/>
        <v>0.15584415584415584</v>
      </c>
      <c r="R553" s="9">
        <f t="shared" si="25"/>
        <v>0.8441558441558441</v>
      </c>
      <c r="V553" t="str">
        <f t="shared" si="26"/>
        <v>Good Performance</v>
      </c>
    </row>
    <row r="554" spans="1:22" x14ac:dyDescent="0.25">
      <c r="A554" t="s">
        <v>9</v>
      </c>
      <c r="B554" t="s">
        <v>20</v>
      </c>
      <c r="C554" t="s">
        <v>40</v>
      </c>
      <c r="D554" t="s">
        <v>48</v>
      </c>
      <c r="E554">
        <v>2156</v>
      </c>
      <c r="F554">
        <v>10</v>
      </c>
      <c r="G554">
        <v>125</v>
      </c>
      <c r="H554">
        <v>269500</v>
      </c>
      <c r="I554">
        <v>32340</v>
      </c>
      <c r="J554">
        <v>237160</v>
      </c>
      <c r="K554">
        <v>258720</v>
      </c>
      <c r="L554">
        <v>-21560</v>
      </c>
      <c r="M554" s="4">
        <v>41913</v>
      </c>
      <c r="N554">
        <v>10</v>
      </c>
      <c r="O554" t="s">
        <v>30</v>
      </c>
      <c r="P554" t="s">
        <v>15</v>
      </c>
      <c r="Q554" s="9">
        <f t="shared" si="24"/>
        <v>-9.0909090909090912E-2</v>
      </c>
      <c r="R554" s="9">
        <f t="shared" si="25"/>
        <v>1.0909090909090908</v>
      </c>
      <c r="V554" t="str">
        <f t="shared" si="26"/>
        <v>Under Review</v>
      </c>
    </row>
    <row r="555" spans="1:22" x14ac:dyDescent="0.25">
      <c r="A555" t="s">
        <v>10</v>
      </c>
      <c r="B555" t="s">
        <v>20</v>
      </c>
      <c r="C555" t="s">
        <v>40</v>
      </c>
      <c r="D555" t="s">
        <v>48</v>
      </c>
      <c r="E555">
        <v>905</v>
      </c>
      <c r="F555">
        <v>10</v>
      </c>
      <c r="G555">
        <v>20</v>
      </c>
      <c r="H555">
        <v>18100</v>
      </c>
      <c r="I555">
        <v>2172</v>
      </c>
      <c r="J555">
        <v>15928</v>
      </c>
      <c r="K555">
        <v>9050</v>
      </c>
      <c r="L555">
        <v>6878</v>
      </c>
      <c r="M555" s="4">
        <v>41913</v>
      </c>
      <c r="N555">
        <v>10</v>
      </c>
      <c r="O555" t="s">
        <v>30</v>
      </c>
      <c r="P555" t="s">
        <v>15</v>
      </c>
      <c r="Q555" s="9">
        <f t="shared" si="24"/>
        <v>0.43181818181818182</v>
      </c>
      <c r="R555" s="9">
        <f t="shared" si="25"/>
        <v>0.56818181818181823</v>
      </c>
      <c r="V555" t="str">
        <f t="shared" si="26"/>
        <v>Good Performance</v>
      </c>
    </row>
    <row r="556" spans="1:22" x14ac:dyDescent="0.25">
      <c r="A556" t="s">
        <v>10</v>
      </c>
      <c r="B556" t="s">
        <v>20</v>
      </c>
      <c r="C556" t="s">
        <v>40</v>
      </c>
      <c r="D556" t="s">
        <v>48</v>
      </c>
      <c r="E556">
        <v>1715</v>
      </c>
      <c r="F556">
        <v>10</v>
      </c>
      <c r="G556">
        <v>20</v>
      </c>
      <c r="H556">
        <v>34300</v>
      </c>
      <c r="I556">
        <v>4116</v>
      </c>
      <c r="J556">
        <v>30184</v>
      </c>
      <c r="K556">
        <v>17150</v>
      </c>
      <c r="L556">
        <v>13034</v>
      </c>
      <c r="M556" s="4">
        <v>41548</v>
      </c>
      <c r="N556">
        <v>10</v>
      </c>
      <c r="O556" t="s">
        <v>30</v>
      </c>
      <c r="P556" t="s">
        <v>14</v>
      </c>
      <c r="Q556" s="9">
        <f t="shared" si="24"/>
        <v>0.43181818181818182</v>
      </c>
      <c r="R556" s="9">
        <f t="shared" si="25"/>
        <v>0.56818181818181823</v>
      </c>
      <c r="V556" t="str">
        <f t="shared" si="26"/>
        <v>Good Performance</v>
      </c>
    </row>
    <row r="557" spans="1:22" x14ac:dyDescent="0.25">
      <c r="A557" t="s">
        <v>10</v>
      </c>
      <c r="B557" t="s">
        <v>18</v>
      </c>
      <c r="C557" t="s">
        <v>40</v>
      </c>
      <c r="D557" t="s">
        <v>48</v>
      </c>
      <c r="E557">
        <v>1594</v>
      </c>
      <c r="F557">
        <v>10</v>
      </c>
      <c r="G557">
        <v>350</v>
      </c>
      <c r="H557">
        <v>557900</v>
      </c>
      <c r="I557">
        <v>66948</v>
      </c>
      <c r="J557">
        <v>490952</v>
      </c>
      <c r="K557">
        <v>414440</v>
      </c>
      <c r="L557">
        <v>76512</v>
      </c>
      <c r="M557" s="4">
        <v>41944</v>
      </c>
      <c r="N557">
        <v>11</v>
      </c>
      <c r="O557" t="s">
        <v>31</v>
      </c>
      <c r="P557" t="s">
        <v>15</v>
      </c>
      <c r="Q557" s="9">
        <f t="shared" si="24"/>
        <v>0.15584415584415584</v>
      </c>
      <c r="R557" s="9">
        <f t="shared" si="25"/>
        <v>0.8441558441558441</v>
      </c>
      <c r="V557" t="str">
        <f t="shared" si="26"/>
        <v>Good Performance</v>
      </c>
    </row>
    <row r="558" spans="1:22" x14ac:dyDescent="0.25">
      <c r="A558" t="s">
        <v>7</v>
      </c>
      <c r="B558" t="s">
        <v>19</v>
      </c>
      <c r="C558" t="s">
        <v>40</v>
      </c>
      <c r="D558" t="s">
        <v>48</v>
      </c>
      <c r="E558">
        <v>1359</v>
      </c>
      <c r="F558">
        <v>10</v>
      </c>
      <c r="G558">
        <v>300</v>
      </c>
      <c r="H558">
        <v>407700</v>
      </c>
      <c r="I558">
        <v>48924</v>
      </c>
      <c r="J558">
        <v>358776</v>
      </c>
      <c r="K558">
        <v>339750</v>
      </c>
      <c r="L558">
        <v>19026</v>
      </c>
      <c r="M558" s="4">
        <v>41944</v>
      </c>
      <c r="N558">
        <v>11</v>
      </c>
      <c r="O558" t="s">
        <v>31</v>
      </c>
      <c r="P558" t="s">
        <v>15</v>
      </c>
      <c r="Q558" s="9">
        <f t="shared" si="24"/>
        <v>5.3030303030303032E-2</v>
      </c>
      <c r="R558" s="9">
        <f t="shared" si="25"/>
        <v>0.94696969696969702</v>
      </c>
      <c r="V558" t="str">
        <f t="shared" si="26"/>
        <v>Under Review</v>
      </c>
    </row>
    <row r="559" spans="1:22" x14ac:dyDescent="0.25">
      <c r="A559" t="s">
        <v>7</v>
      </c>
      <c r="B559" t="s">
        <v>20</v>
      </c>
      <c r="C559" t="s">
        <v>40</v>
      </c>
      <c r="D559" t="s">
        <v>48</v>
      </c>
      <c r="E559">
        <v>2150</v>
      </c>
      <c r="F559">
        <v>10</v>
      </c>
      <c r="G559">
        <v>300</v>
      </c>
      <c r="H559">
        <v>645000</v>
      </c>
      <c r="I559">
        <v>77400</v>
      </c>
      <c r="J559">
        <v>567600</v>
      </c>
      <c r="K559">
        <v>537500</v>
      </c>
      <c r="L559">
        <v>30100</v>
      </c>
      <c r="M559" s="4">
        <v>41944</v>
      </c>
      <c r="N559">
        <v>11</v>
      </c>
      <c r="O559" t="s">
        <v>31</v>
      </c>
      <c r="P559" t="s">
        <v>15</v>
      </c>
      <c r="Q559" s="9">
        <f t="shared" si="24"/>
        <v>5.3030303030303032E-2</v>
      </c>
      <c r="R559" s="9">
        <f t="shared" si="25"/>
        <v>0.94696969696969702</v>
      </c>
      <c r="V559" t="str">
        <f t="shared" si="26"/>
        <v>Under Review</v>
      </c>
    </row>
    <row r="560" spans="1:22" x14ac:dyDescent="0.25">
      <c r="A560" t="s">
        <v>10</v>
      </c>
      <c r="B560" t="s">
        <v>20</v>
      </c>
      <c r="C560" t="s">
        <v>40</v>
      </c>
      <c r="D560" t="s">
        <v>48</v>
      </c>
      <c r="E560">
        <v>1197</v>
      </c>
      <c r="F560">
        <v>10</v>
      </c>
      <c r="G560">
        <v>350</v>
      </c>
      <c r="H560">
        <v>418950</v>
      </c>
      <c r="I560">
        <v>50274</v>
      </c>
      <c r="J560">
        <v>368676</v>
      </c>
      <c r="K560">
        <v>311220</v>
      </c>
      <c r="L560">
        <v>57456</v>
      </c>
      <c r="M560" s="4">
        <v>41944</v>
      </c>
      <c r="N560">
        <v>11</v>
      </c>
      <c r="O560" t="s">
        <v>31</v>
      </c>
      <c r="P560" t="s">
        <v>15</v>
      </c>
      <c r="Q560" s="9">
        <f t="shared" si="24"/>
        <v>0.15584415584415584</v>
      </c>
      <c r="R560" s="9">
        <f t="shared" si="25"/>
        <v>0.8441558441558441</v>
      </c>
      <c r="V560" t="str">
        <f t="shared" si="26"/>
        <v>Good Performance</v>
      </c>
    </row>
    <row r="561" spans="1:22" x14ac:dyDescent="0.25">
      <c r="A561" t="s">
        <v>8</v>
      </c>
      <c r="B561" t="s">
        <v>20</v>
      </c>
      <c r="C561" t="s">
        <v>40</v>
      </c>
      <c r="D561" t="s">
        <v>48</v>
      </c>
      <c r="E561">
        <v>380</v>
      </c>
      <c r="F561">
        <v>10</v>
      </c>
      <c r="G561">
        <v>15</v>
      </c>
      <c r="H561">
        <v>5700</v>
      </c>
      <c r="I561">
        <v>684</v>
      </c>
      <c r="J561">
        <v>5016</v>
      </c>
      <c r="K561">
        <v>3800</v>
      </c>
      <c r="L561">
        <v>1216</v>
      </c>
      <c r="M561" s="4">
        <v>41609</v>
      </c>
      <c r="N561">
        <v>12</v>
      </c>
      <c r="O561" t="s">
        <v>32</v>
      </c>
      <c r="P561" t="s">
        <v>14</v>
      </c>
      <c r="Q561" s="9">
        <f t="shared" si="24"/>
        <v>0.24242424242424243</v>
      </c>
      <c r="R561" s="9">
        <f t="shared" si="25"/>
        <v>0.75757575757575757</v>
      </c>
      <c r="V561" t="str">
        <f t="shared" si="26"/>
        <v>Good Performance</v>
      </c>
    </row>
    <row r="562" spans="1:22" x14ac:dyDescent="0.25">
      <c r="A562" t="s">
        <v>10</v>
      </c>
      <c r="B562" t="s">
        <v>20</v>
      </c>
      <c r="C562" t="s">
        <v>40</v>
      </c>
      <c r="D562" t="s">
        <v>48</v>
      </c>
      <c r="E562">
        <v>1233</v>
      </c>
      <c r="F562">
        <v>10</v>
      </c>
      <c r="G562">
        <v>20</v>
      </c>
      <c r="H562">
        <v>24660</v>
      </c>
      <c r="I562">
        <v>2959.2</v>
      </c>
      <c r="J562">
        <v>21700.799999999999</v>
      </c>
      <c r="K562">
        <v>12330</v>
      </c>
      <c r="L562">
        <v>9370.7999999999993</v>
      </c>
      <c r="M562" s="4">
        <v>41974</v>
      </c>
      <c r="N562">
        <v>12</v>
      </c>
      <c r="O562" t="s">
        <v>32</v>
      </c>
      <c r="P562" t="s">
        <v>15</v>
      </c>
      <c r="Q562" s="9">
        <f t="shared" si="24"/>
        <v>0.43181818181818182</v>
      </c>
      <c r="R562" s="9">
        <f t="shared" si="25"/>
        <v>0.56818181818181823</v>
      </c>
      <c r="V562" t="str">
        <f t="shared" si="26"/>
        <v>Good Performance</v>
      </c>
    </row>
    <row r="563" spans="1:22" x14ac:dyDescent="0.25">
      <c r="A563" t="s">
        <v>10</v>
      </c>
      <c r="B563" t="s">
        <v>20</v>
      </c>
      <c r="C563" t="s">
        <v>41</v>
      </c>
      <c r="D563" t="s">
        <v>48</v>
      </c>
      <c r="E563">
        <v>1395</v>
      </c>
      <c r="F563">
        <v>120</v>
      </c>
      <c r="G563">
        <v>350</v>
      </c>
      <c r="H563">
        <v>488250</v>
      </c>
      <c r="I563">
        <v>58590</v>
      </c>
      <c r="J563">
        <v>429660</v>
      </c>
      <c r="K563">
        <v>362700</v>
      </c>
      <c r="L563">
        <v>66960</v>
      </c>
      <c r="M563" s="4">
        <v>41821</v>
      </c>
      <c r="N563">
        <v>7</v>
      </c>
      <c r="O563" t="s">
        <v>27</v>
      </c>
      <c r="P563" t="s">
        <v>15</v>
      </c>
      <c r="Q563" s="9">
        <f t="shared" si="24"/>
        <v>0.15584415584415584</v>
      </c>
      <c r="R563" s="9">
        <f t="shared" si="25"/>
        <v>0.8441558441558441</v>
      </c>
      <c r="V563" t="str">
        <f t="shared" si="26"/>
        <v>Good Performance</v>
      </c>
    </row>
    <row r="564" spans="1:22" x14ac:dyDescent="0.25">
      <c r="A564" t="s">
        <v>10</v>
      </c>
      <c r="B564" t="s">
        <v>17</v>
      </c>
      <c r="C564" t="s">
        <v>41</v>
      </c>
      <c r="D564" t="s">
        <v>48</v>
      </c>
      <c r="E564">
        <v>986</v>
      </c>
      <c r="F564">
        <v>120</v>
      </c>
      <c r="G564">
        <v>350</v>
      </c>
      <c r="H564">
        <v>345100</v>
      </c>
      <c r="I564">
        <v>41412</v>
      </c>
      <c r="J564">
        <v>303688</v>
      </c>
      <c r="K564">
        <v>256360</v>
      </c>
      <c r="L564">
        <v>47328</v>
      </c>
      <c r="M564" s="4">
        <v>41913</v>
      </c>
      <c r="N564">
        <v>10</v>
      </c>
      <c r="O564" t="s">
        <v>30</v>
      </c>
      <c r="P564" t="s">
        <v>15</v>
      </c>
      <c r="Q564" s="9">
        <f t="shared" si="24"/>
        <v>0.15584415584415584</v>
      </c>
      <c r="R564" s="9">
        <f t="shared" si="25"/>
        <v>0.8441558441558441</v>
      </c>
      <c r="V564" t="str">
        <f t="shared" si="26"/>
        <v>Good Performance</v>
      </c>
    </row>
    <row r="565" spans="1:22" x14ac:dyDescent="0.25">
      <c r="A565" t="s">
        <v>10</v>
      </c>
      <c r="B565" t="s">
        <v>20</v>
      </c>
      <c r="C565" t="s">
        <v>41</v>
      </c>
      <c r="D565" t="s">
        <v>48</v>
      </c>
      <c r="E565">
        <v>905</v>
      </c>
      <c r="F565">
        <v>120</v>
      </c>
      <c r="G565">
        <v>20</v>
      </c>
      <c r="H565">
        <v>18100</v>
      </c>
      <c r="I565">
        <v>2172</v>
      </c>
      <c r="J565">
        <v>15928</v>
      </c>
      <c r="K565">
        <v>9050</v>
      </c>
      <c r="L565">
        <v>6878</v>
      </c>
      <c r="M565" s="4">
        <v>41913</v>
      </c>
      <c r="N565">
        <v>10</v>
      </c>
      <c r="O565" t="s">
        <v>30</v>
      </c>
      <c r="P565" t="s">
        <v>15</v>
      </c>
      <c r="Q565" s="9">
        <f t="shared" si="24"/>
        <v>0.43181818181818182</v>
      </c>
      <c r="R565" s="9">
        <f t="shared" si="25"/>
        <v>0.56818181818181823</v>
      </c>
      <c r="V565" t="str">
        <f t="shared" si="26"/>
        <v>Good Performance</v>
      </c>
    </row>
    <row r="566" spans="1:22" x14ac:dyDescent="0.25">
      <c r="A566" t="s">
        <v>11</v>
      </c>
      <c r="B566" t="s">
        <v>16</v>
      </c>
      <c r="C566" t="s">
        <v>42</v>
      </c>
      <c r="D566" t="s">
        <v>48</v>
      </c>
      <c r="E566">
        <v>2109</v>
      </c>
      <c r="F566">
        <v>250</v>
      </c>
      <c r="G566">
        <v>12</v>
      </c>
      <c r="H566">
        <v>25308</v>
      </c>
      <c r="I566">
        <v>3036.96</v>
      </c>
      <c r="J566">
        <v>22271.040000000001</v>
      </c>
      <c r="K566">
        <v>6327</v>
      </c>
      <c r="L566">
        <v>15944.04</v>
      </c>
      <c r="M566" s="4">
        <v>41760</v>
      </c>
      <c r="N566">
        <v>5</v>
      </c>
      <c r="O566" t="s">
        <v>25</v>
      </c>
      <c r="P566" t="s">
        <v>15</v>
      </c>
      <c r="Q566" s="9">
        <f t="shared" si="24"/>
        <v>0.71590909090909094</v>
      </c>
      <c r="R566" s="9">
        <f t="shared" si="25"/>
        <v>0.28409090909090906</v>
      </c>
      <c r="V566" t="str">
        <f t="shared" si="26"/>
        <v>Good Performance</v>
      </c>
    </row>
    <row r="567" spans="1:22" x14ac:dyDescent="0.25">
      <c r="A567" t="s">
        <v>8</v>
      </c>
      <c r="B567" t="s">
        <v>18</v>
      </c>
      <c r="C567" t="s">
        <v>42</v>
      </c>
      <c r="D567" t="s">
        <v>48</v>
      </c>
      <c r="E567">
        <v>3874.5</v>
      </c>
      <c r="F567">
        <v>250</v>
      </c>
      <c r="G567">
        <v>15</v>
      </c>
      <c r="H567">
        <v>58117.5</v>
      </c>
      <c r="I567">
        <v>6974.0999999999995</v>
      </c>
      <c r="J567">
        <v>51143.399999999994</v>
      </c>
      <c r="K567">
        <v>38745</v>
      </c>
      <c r="L567">
        <v>12398.399999999998</v>
      </c>
      <c r="M567" s="4">
        <v>41821</v>
      </c>
      <c r="N567">
        <v>7</v>
      </c>
      <c r="O567" t="s">
        <v>27</v>
      </c>
      <c r="P567" t="s">
        <v>15</v>
      </c>
      <c r="Q567" s="9">
        <f t="shared" si="24"/>
        <v>0.2424242424242424</v>
      </c>
      <c r="R567" s="9">
        <f t="shared" si="25"/>
        <v>0.75757575757575768</v>
      </c>
      <c r="V567" t="str">
        <f t="shared" si="26"/>
        <v>Good Performance</v>
      </c>
    </row>
    <row r="568" spans="1:22" x14ac:dyDescent="0.25">
      <c r="A568" t="s">
        <v>10</v>
      </c>
      <c r="B568" t="s">
        <v>16</v>
      </c>
      <c r="C568" t="s">
        <v>42</v>
      </c>
      <c r="D568" t="s">
        <v>48</v>
      </c>
      <c r="E568">
        <v>623</v>
      </c>
      <c r="F568">
        <v>250</v>
      </c>
      <c r="G568">
        <v>350</v>
      </c>
      <c r="H568">
        <v>218050</v>
      </c>
      <c r="I568">
        <v>26166</v>
      </c>
      <c r="J568">
        <v>191884</v>
      </c>
      <c r="K568">
        <v>161980</v>
      </c>
      <c r="L568">
        <v>29904</v>
      </c>
      <c r="M568" s="4">
        <v>41518</v>
      </c>
      <c r="N568">
        <v>9</v>
      </c>
      <c r="O568" t="s">
        <v>29</v>
      </c>
      <c r="P568" t="s">
        <v>14</v>
      </c>
      <c r="Q568" s="9">
        <f t="shared" si="24"/>
        <v>0.15584415584415584</v>
      </c>
      <c r="R568" s="9">
        <f t="shared" si="25"/>
        <v>0.8441558441558441</v>
      </c>
      <c r="V568" t="str">
        <f t="shared" si="26"/>
        <v>Good Performance</v>
      </c>
    </row>
    <row r="569" spans="1:22" x14ac:dyDescent="0.25">
      <c r="A569" t="s">
        <v>10</v>
      </c>
      <c r="B569" t="s">
        <v>17</v>
      </c>
      <c r="C569" t="s">
        <v>42</v>
      </c>
      <c r="D569" t="s">
        <v>48</v>
      </c>
      <c r="E569">
        <v>986</v>
      </c>
      <c r="F569">
        <v>250</v>
      </c>
      <c r="G569">
        <v>350</v>
      </c>
      <c r="H569">
        <v>345100</v>
      </c>
      <c r="I569">
        <v>41412</v>
      </c>
      <c r="J569">
        <v>303688</v>
      </c>
      <c r="K569">
        <v>256360</v>
      </c>
      <c r="L569">
        <v>47328</v>
      </c>
      <c r="M569" s="4">
        <v>41913</v>
      </c>
      <c r="N569">
        <v>10</v>
      </c>
      <c r="O569" t="s">
        <v>30</v>
      </c>
      <c r="P569" t="s">
        <v>15</v>
      </c>
      <c r="Q569" s="9">
        <f t="shared" si="24"/>
        <v>0.15584415584415584</v>
      </c>
      <c r="R569" s="9">
        <f t="shared" si="25"/>
        <v>0.8441558441558441</v>
      </c>
      <c r="V569" t="str">
        <f t="shared" si="26"/>
        <v>Good Performance</v>
      </c>
    </row>
    <row r="570" spans="1:22" x14ac:dyDescent="0.25">
      <c r="A570" t="s">
        <v>9</v>
      </c>
      <c r="B570" t="s">
        <v>17</v>
      </c>
      <c r="C570" t="s">
        <v>42</v>
      </c>
      <c r="D570" t="s">
        <v>48</v>
      </c>
      <c r="E570">
        <v>2387</v>
      </c>
      <c r="F570">
        <v>250</v>
      </c>
      <c r="G570">
        <v>125</v>
      </c>
      <c r="H570">
        <v>298375</v>
      </c>
      <c r="I570">
        <v>35805</v>
      </c>
      <c r="J570">
        <v>262570</v>
      </c>
      <c r="K570">
        <v>286440</v>
      </c>
      <c r="L570">
        <v>-23870</v>
      </c>
      <c r="M570" s="4">
        <v>41944</v>
      </c>
      <c r="N570">
        <v>11</v>
      </c>
      <c r="O570" t="s">
        <v>31</v>
      </c>
      <c r="P570" t="s">
        <v>15</v>
      </c>
      <c r="Q570" s="9">
        <f t="shared" si="24"/>
        <v>-9.0909090909090912E-2</v>
      </c>
      <c r="R570" s="9">
        <f t="shared" si="25"/>
        <v>1.0909090909090908</v>
      </c>
      <c r="V570" t="str">
        <f t="shared" si="26"/>
        <v>Under Review</v>
      </c>
    </row>
    <row r="571" spans="1:22" x14ac:dyDescent="0.25">
      <c r="A571" t="s">
        <v>10</v>
      </c>
      <c r="B571" t="s">
        <v>20</v>
      </c>
      <c r="C571" t="s">
        <v>42</v>
      </c>
      <c r="D571" t="s">
        <v>48</v>
      </c>
      <c r="E571">
        <v>1233</v>
      </c>
      <c r="F571">
        <v>250</v>
      </c>
      <c r="G571">
        <v>20</v>
      </c>
      <c r="H571">
        <v>24660</v>
      </c>
      <c r="I571">
        <v>2959.2</v>
      </c>
      <c r="J571">
        <v>21700.799999999999</v>
      </c>
      <c r="K571">
        <v>12330</v>
      </c>
      <c r="L571">
        <v>9370.7999999999993</v>
      </c>
      <c r="M571" s="4">
        <v>41974</v>
      </c>
      <c r="N571">
        <v>12</v>
      </c>
      <c r="O571" t="s">
        <v>32</v>
      </c>
      <c r="P571" t="s">
        <v>15</v>
      </c>
      <c r="Q571" s="9">
        <f t="shared" si="24"/>
        <v>0.43181818181818182</v>
      </c>
      <c r="R571" s="9">
        <f t="shared" si="25"/>
        <v>0.56818181818181823</v>
      </c>
      <c r="V571" t="str">
        <f t="shared" si="26"/>
        <v>Good Performance</v>
      </c>
    </row>
    <row r="572" spans="1:22" x14ac:dyDescent="0.25">
      <c r="A572" t="s">
        <v>10</v>
      </c>
      <c r="B572" t="s">
        <v>17</v>
      </c>
      <c r="C572" t="s">
        <v>43</v>
      </c>
      <c r="D572" t="s">
        <v>48</v>
      </c>
      <c r="E572">
        <v>270</v>
      </c>
      <c r="F572">
        <v>260</v>
      </c>
      <c r="G572">
        <v>350</v>
      </c>
      <c r="H572">
        <v>94500</v>
      </c>
      <c r="I572">
        <v>11340</v>
      </c>
      <c r="J572">
        <v>83160</v>
      </c>
      <c r="K572">
        <v>70200</v>
      </c>
      <c r="L572">
        <v>12960</v>
      </c>
      <c r="M572" s="4">
        <v>41671</v>
      </c>
      <c r="N572">
        <v>2</v>
      </c>
      <c r="O572" t="s">
        <v>22</v>
      </c>
      <c r="P572" t="s">
        <v>15</v>
      </c>
      <c r="Q572" s="9">
        <f t="shared" si="24"/>
        <v>0.15584415584415584</v>
      </c>
      <c r="R572" s="9">
        <f t="shared" si="25"/>
        <v>0.8441558441558441</v>
      </c>
      <c r="V572" t="str">
        <f t="shared" si="26"/>
        <v>Good Performance</v>
      </c>
    </row>
    <row r="573" spans="1:22" x14ac:dyDescent="0.25">
      <c r="A573" t="s">
        <v>10</v>
      </c>
      <c r="B573" t="s">
        <v>18</v>
      </c>
      <c r="C573" t="s">
        <v>43</v>
      </c>
      <c r="D573" t="s">
        <v>48</v>
      </c>
      <c r="E573">
        <v>3421.5</v>
      </c>
      <c r="F573">
        <v>260</v>
      </c>
      <c r="G573">
        <v>7</v>
      </c>
      <c r="H573">
        <v>23950.5</v>
      </c>
      <c r="I573">
        <v>2874.06</v>
      </c>
      <c r="J573">
        <v>21076.44</v>
      </c>
      <c r="K573">
        <v>17107.5</v>
      </c>
      <c r="L573">
        <v>3968.9399999999987</v>
      </c>
      <c r="M573" s="4">
        <v>41821</v>
      </c>
      <c r="N573">
        <v>7</v>
      </c>
      <c r="O573" t="s">
        <v>27</v>
      </c>
      <c r="P573" t="s">
        <v>15</v>
      </c>
      <c r="Q573" s="9">
        <f t="shared" si="24"/>
        <v>0.18831168831168826</v>
      </c>
      <c r="R573" s="9">
        <f t="shared" si="25"/>
        <v>0.81168831168831179</v>
      </c>
      <c r="V573" t="str">
        <f t="shared" si="26"/>
        <v>Good Performance</v>
      </c>
    </row>
    <row r="574" spans="1:22" x14ac:dyDescent="0.25">
      <c r="A574" t="s">
        <v>10</v>
      </c>
      <c r="B574" t="s">
        <v>16</v>
      </c>
      <c r="C574" t="s">
        <v>43</v>
      </c>
      <c r="D574" t="s">
        <v>48</v>
      </c>
      <c r="E574">
        <v>2734</v>
      </c>
      <c r="F574">
        <v>260</v>
      </c>
      <c r="G574">
        <v>7</v>
      </c>
      <c r="H574">
        <v>19138</v>
      </c>
      <c r="I574">
        <v>2296.56</v>
      </c>
      <c r="J574">
        <v>16841.439999999999</v>
      </c>
      <c r="K574">
        <v>13670</v>
      </c>
      <c r="L574">
        <v>3171.4399999999987</v>
      </c>
      <c r="M574" s="4">
        <v>41913</v>
      </c>
      <c r="N574">
        <v>10</v>
      </c>
      <c r="O574" t="s">
        <v>30</v>
      </c>
      <c r="P574" t="s">
        <v>15</v>
      </c>
      <c r="Q574" s="9">
        <f t="shared" si="24"/>
        <v>0.18831168831168824</v>
      </c>
      <c r="R574" s="9">
        <f t="shared" si="25"/>
        <v>0.81168831168831179</v>
      </c>
      <c r="V574" t="str">
        <f t="shared" si="26"/>
        <v>Good Performance</v>
      </c>
    </row>
    <row r="575" spans="1:22" x14ac:dyDescent="0.25">
      <c r="A575" t="s">
        <v>8</v>
      </c>
      <c r="B575" t="s">
        <v>17</v>
      </c>
      <c r="C575" t="s">
        <v>43</v>
      </c>
      <c r="D575" t="s">
        <v>48</v>
      </c>
      <c r="E575">
        <v>2548</v>
      </c>
      <c r="F575">
        <v>260</v>
      </c>
      <c r="G575">
        <v>15</v>
      </c>
      <c r="H575">
        <v>38220</v>
      </c>
      <c r="I575">
        <v>4586.3999999999996</v>
      </c>
      <c r="J575">
        <v>33633.599999999999</v>
      </c>
      <c r="K575">
        <v>25480</v>
      </c>
      <c r="L575">
        <v>8153.5999999999985</v>
      </c>
      <c r="M575" s="4">
        <v>41579</v>
      </c>
      <c r="N575">
        <v>11</v>
      </c>
      <c r="O575" t="s">
        <v>31</v>
      </c>
      <c r="P575" t="s">
        <v>14</v>
      </c>
      <c r="Q575" s="9">
        <f t="shared" si="24"/>
        <v>0.2424242424242424</v>
      </c>
      <c r="R575" s="9">
        <f t="shared" si="25"/>
        <v>0.75757575757575757</v>
      </c>
      <c r="V575" t="str">
        <f t="shared" si="26"/>
        <v>Good Performance</v>
      </c>
    </row>
    <row r="576" spans="1:22" x14ac:dyDescent="0.25">
      <c r="A576" t="s">
        <v>10</v>
      </c>
      <c r="B576" t="s">
        <v>18</v>
      </c>
      <c r="C576" t="s">
        <v>38</v>
      </c>
      <c r="D576" t="s">
        <v>48</v>
      </c>
      <c r="E576">
        <v>2521.5</v>
      </c>
      <c r="F576">
        <v>3</v>
      </c>
      <c r="G576">
        <v>20</v>
      </c>
      <c r="H576">
        <v>50430</v>
      </c>
      <c r="I576">
        <v>6051.6</v>
      </c>
      <c r="J576">
        <v>44378.399999999994</v>
      </c>
      <c r="K576">
        <v>25215</v>
      </c>
      <c r="L576">
        <v>19163.399999999998</v>
      </c>
      <c r="M576" s="4">
        <v>41640</v>
      </c>
      <c r="N576">
        <v>1</v>
      </c>
      <c r="O576" t="s">
        <v>21</v>
      </c>
      <c r="P576" t="s">
        <v>15</v>
      </c>
      <c r="Q576" s="9">
        <f t="shared" si="24"/>
        <v>0.43181818181818182</v>
      </c>
      <c r="R576" s="9">
        <f t="shared" si="25"/>
        <v>0.56818181818181823</v>
      </c>
      <c r="V576" t="str">
        <f t="shared" si="26"/>
        <v>Good Performance</v>
      </c>
    </row>
    <row r="577" spans="1:22" x14ac:dyDescent="0.25">
      <c r="A577" t="s">
        <v>11</v>
      </c>
      <c r="B577" t="s">
        <v>20</v>
      </c>
      <c r="C577" t="s">
        <v>39</v>
      </c>
      <c r="D577" t="s">
        <v>48</v>
      </c>
      <c r="E577">
        <v>2661</v>
      </c>
      <c r="F577">
        <v>5</v>
      </c>
      <c r="G577">
        <v>12</v>
      </c>
      <c r="H577">
        <v>31932</v>
      </c>
      <c r="I577">
        <v>3831.84</v>
      </c>
      <c r="J577">
        <v>28100.16</v>
      </c>
      <c r="K577">
        <v>7983</v>
      </c>
      <c r="L577">
        <v>20117.16</v>
      </c>
      <c r="M577" s="4">
        <v>41760</v>
      </c>
      <c r="N577">
        <v>5</v>
      </c>
      <c r="O577" t="s">
        <v>25</v>
      </c>
      <c r="P577" t="s">
        <v>15</v>
      </c>
      <c r="Q577" s="9">
        <f t="shared" si="24"/>
        <v>0.71590909090909094</v>
      </c>
      <c r="R577" s="9">
        <f t="shared" si="25"/>
        <v>0.28409090909090912</v>
      </c>
      <c r="V577" t="str">
        <f t="shared" si="26"/>
        <v>Good Performance</v>
      </c>
    </row>
    <row r="578" spans="1:22" x14ac:dyDescent="0.25">
      <c r="A578" t="s">
        <v>10</v>
      </c>
      <c r="B578" t="s">
        <v>19</v>
      </c>
      <c r="C578" t="s">
        <v>40</v>
      </c>
      <c r="D578" t="s">
        <v>48</v>
      </c>
      <c r="E578">
        <v>1531</v>
      </c>
      <c r="F578">
        <v>10</v>
      </c>
      <c r="G578">
        <v>20</v>
      </c>
      <c r="H578">
        <v>30620</v>
      </c>
      <c r="I578">
        <v>3674.4</v>
      </c>
      <c r="J578">
        <v>26945.599999999999</v>
      </c>
      <c r="K578">
        <v>15310</v>
      </c>
      <c r="L578">
        <v>11635.599999999999</v>
      </c>
      <c r="M578" s="4">
        <v>41974</v>
      </c>
      <c r="N578">
        <v>12</v>
      </c>
      <c r="O578" t="s">
        <v>32</v>
      </c>
      <c r="P578" t="s">
        <v>15</v>
      </c>
      <c r="Q578" s="9">
        <f t="shared" si="24"/>
        <v>0.43181818181818177</v>
      </c>
      <c r="R578" s="9">
        <f t="shared" si="25"/>
        <v>0.56818181818181823</v>
      </c>
      <c r="V578" t="str">
        <f t="shared" si="26"/>
        <v>Good Performance</v>
      </c>
    </row>
    <row r="579" spans="1:22" x14ac:dyDescent="0.25">
      <c r="A579" t="s">
        <v>10</v>
      </c>
      <c r="B579" t="s">
        <v>18</v>
      </c>
      <c r="C579" t="s">
        <v>42</v>
      </c>
      <c r="D579" t="s">
        <v>48</v>
      </c>
      <c r="E579">
        <v>1491</v>
      </c>
      <c r="F579">
        <v>250</v>
      </c>
      <c r="G579">
        <v>7</v>
      </c>
      <c r="H579">
        <v>10437</v>
      </c>
      <c r="I579">
        <v>1252.44</v>
      </c>
      <c r="J579">
        <v>9184.56</v>
      </c>
      <c r="K579">
        <v>7455</v>
      </c>
      <c r="L579">
        <v>1729.5599999999995</v>
      </c>
      <c r="M579" s="4">
        <v>41699</v>
      </c>
      <c r="N579">
        <v>3</v>
      </c>
      <c r="O579" t="s">
        <v>23</v>
      </c>
      <c r="P579" t="s">
        <v>15</v>
      </c>
      <c r="Q579" s="9">
        <f t="shared" ref="Q579:Q642" si="27">L579/J579</f>
        <v>0.18831168831168826</v>
      </c>
      <c r="R579" s="9">
        <f t="shared" ref="R579:R642" si="28">K579/J579</f>
        <v>0.81168831168831168</v>
      </c>
      <c r="V579" t="str">
        <f t="shared" ref="V579:V642" si="29">IF(Q579&lt;0.1, "Under Review", "Good Performance")</f>
        <v>Good Performance</v>
      </c>
    </row>
    <row r="580" spans="1:22" x14ac:dyDescent="0.25">
      <c r="A580" t="s">
        <v>10</v>
      </c>
      <c r="B580" t="s">
        <v>19</v>
      </c>
      <c r="C580" t="s">
        <v>42</v>
      </c>
      <c r="D580" t="s">
        <v>48</v>
      </c>
      <c r="E580">
        <v>1531</v>
      </c>
      <c r="F580">
        <v>250</v>
      </c>
      <c r="G580">
        <v>20</v>
      </c>
      <c r="H580">
        <v>30620</v>
      </c>
      <c r="I580">
        <v>3674.4</v>
      </c>
      <c r="J580">
        <v>26945.599999999999</v>
      </c>
      <c r="K580">
        <v>15310</v>
      </c>
      <c r="L580">
        <v>11635.599999999999</v>
      </c>
      <c r="M580" s="4">
        <v>41974</v>
      </c>
      <c r="N580">
        <v>12</v>
      </c>
      <c r="O580" t="s">
        <v>32</v>
      </c>
      <c r="P580" t="s">
        <v>15</v>
      </c>
      <c r="Q580" s="9">
        <f t="shared" si="27"/>
        <v>0.43181818181818177</v>
      </c>
      <c r="R580" s="9">
        <f t="shared" si="28"/>
        <v>0.56818181818181823</v>
      </c>
      <c r="V580" t="str">
        <f t="shared" si="29"/>
        <v>Good Performance</v>
      </c>
    </row>
    <row r="581" spans="1:22" x14ac:dyDescent="0.25">
      <c r="A581" t="s">
        <v>11</v>
      </c>
      <c r="B581" t="s">
        <v>16</v>
      </c>
      <c r="C581" t="s">
        <v>43</v>
      </c>
      <c r="D581" t="s">
        <v>48</v>
      </c>
      <c r="E581">
        <v>2761</v>
      </c>
      <c r="F581">
        <v>260</v>
      </c>
      <c r="G581">
        <v>12</v>
      </c>
      <c r="H581">
        <v>33132</v>
      </c>
      <c r="I581">
        <v>3975.84</v>
      </c>
      <c r="J581">
        <v>29156.16</v>
      </c>
      <c r="K581">
        <v>8283</v>
      </c>
      <c r="L581">
        <v>20873.16</v>
      </c>
      <c r="M581" s="4">
        <v>41518</v>
      </c>
      <c r="N581">
        <v>9</v>
      </c>
      <c r="O581" t="s">
        <v>29</v>
      </c>
      <c r="P581" t="s">
        <v>14</v>
      </c>
      <c r="Q581" s="9">
        <f t="shared" si="27"/>
        <v>0.71590909090909094</v>
      </c>
      <c r="R581" s="9">
        <f t="shared" si="28"/>
        <v>0.28409090909090912</v>
      </c>
      <c r="V581" t="str">
        <f t="shared" si="29"/>
        <v>Good Performance</v>
      </c>
    </row>
    <row r="582" spans="1:22" x14ac:dyDescent="0.25">
      <c r="A582" t="s">
        <v>8</v>
      </c>
      <c r="B582" t="s">
        <v>17</v>
      </c>
      <c r="C582" t="s">
        <v>38</v>
      </c>
      <c r="D582" t="s">
        <v>48</v>
      </c>
      <c r="E582">
        <v>2567</v>
      </c>
      <c r="F582">
        <v>3</v>
      </c>
      <c r="G582">
        <v>15</v>
      </c>
      <c r="H582">
        <v>38505</v>
      </c>
      <c r="I582">
        <v>5005.6499999999996</v>
      </c>
      <c r="J582">
        <v>33499.35</v>
      </c>
      <c r="K582">
        <v>25670</v>
      </c>
      <c r="L582">
        <v>7829.3499999999985</v>
      </c>
      <c r="M582" s="4">
        <v>41791</v>
      </c>
      <c r="N582">
        <v>6</v>
      </c>
      <c r="O582" t="s">
        <v>26</v>
      </c>
      <c r="P582" t="s">
        <v>15</v>
      </c>
      <c r="Q582" s="9">
        <f t="shared" si="27"/>
        <v>0.23371647509578541</v>
      </c>
      <c r="R582" s="9">
        <f t="shared" si="28"/>
        <v>0.76628352490421459</v>
      </c>
      <c r="V582" t="str">
        <f t="shared" si="29"/>
        <v>Good Performance</v>
      </c>
    </row>
    <row r="583" spans="1:22" x14ac:dyDescent="0.25">
      <c r="A583" t="s">
        <v>8</v>
      </c>
      <c r="B583" t="s">
        <v>17</v>
      </c>
      <c r="C583" t="s">
        <v>42</v>
      </c>
      <c r="D583" t="s">
        <v>48</v>
      </c>
      <c r="E583">
        <v>2567</v>
      </c>
      <c r="F583">
        <v>250</v>
      </c>
      <c r="G583">
        <v>15</v>
      </c>
      <c r="H583">
        <v>38505</v>
      </c>
      <c r="I583">
        <v>5005.6499999999996</v>
      </c>
      <c r="J583">
        <v>33499.35</v>
      </c>
      <c r="K583">
        <v>25670</v>
      </c>
      <c r="L583">
        <v>7829.3499999999985</v>
      </c>
      <c r="M583" s="4">
        <v>41791</v>
      </c>
      <c r="N583">
        <v>6</v>
      </c>
      <c r="O583" t="s">
        <v>26</v>
      </c>
      <c r="P583" t="s">
        <v>15</v>
      </c>
      <c r="Q583" s="9">
        <f t="shared" si="27"/>
        <v>0.23371647509578541</v>
      </c>
      <c r="R583" s="9">
        <f t="shared" si="28"/>
        <v>0.76628352490421459</v>
      </c>
      <c r="V583" t="str">
        <f t="shared" si="29"/>
        <v>Good Performance</v>
      </c>
    </row>
    <row r="584" spans="1:22" x14ac:dyDescent="0.25">
      <c r="A584" t="s">
        <v>10</v>
      </c>
      <c r="B584" t="s">
        <v>16</v>
      </c>
      <c r="C584" t="s">
        <v>38</v>
      </c>
      <c r="D584" t="s">
        <v>48</v>
      </c>
      <c r="E584">
        <v>923</v>
      </c>
      <c r="F584">
        <v>3</v>
      </c>
      <c r="G584">
        <v>350</v>
      </c>
      <c r="H584">
        <v>323050</v>
      </c>
      <c r="I584">
        <v>41996.5</v>
      </c>
      <c r="J584">
        <v>281053.5</v>
      </c>
      <c r="K584">
        <v>239980</v>
      </c>
      <c r="L584">
        <v>41073.5</v>
      </c>
      <c r="M584" s="4">
        <v>41699</v>
      </c>
      <c r="N584">
        <v>3</v>
      </c>
      <c r="O584" t="s">
        <v>23</v>
      </c>
      <c r="P584" t="s">
        <v>15</v>
      </c>
      <c r="Q584" s="9">
        <f t="shared" si="27"/>
        <v>0.14614121510673234</v>
      </c>
      <c r="R584" s="9">
        <f t="shared" si="28"/>
        <v>0.85385878489326761</v>
      </c>
      <c r="V584" t="str">
        <f t="shared" si="29"/>
        <v>Good Performance</v>
      </c>
    </row>
    <row r="585" spans="1:22" x14ac:dyDescent="0.25">
      <c r="A585" t="s">
        <v>10</v>
      </c>
      <c r="B585" t="s">
        <v>18</v>
      </c>
      <c r="C585" t="s">
        <v>38</v>
      </c>
      <c r="D585" t="s">
        <v>48</v>
      </c>
      <c r="E585">
        <v>1790</v>
      </c>
      <c r="F585">
        <v>3</v>
      </c>
      <c r="G585">
        <v>350</v>
      </c>
      <c r="H585">
        <v>626500</v>
      </c>
      <c r="I585">
        <v>81445</v>
      </c>
      <c r="J585">
        <v>545055</v>
      </c>
      <c r="K585">
        <v>465400</v>
      </c>
      <c r="L585">
        <v>79655</v>
      </c>
      <c r="M585" s="4">
        <v>41699</v>
      </c>
      <c r="N585">
        <v>3</v>
      </c>
      <c r="O585" t="s">
        <v>23</v>
      </c>
      <c r="P585" t="s">
        <v>15</v>
      </c>
      <c r="Q585" s="9">
        <f t="shared" si="27"/>
        <v>0.14614121510673234</v>
      </c>
      <c r="R585" s="9">
        <f t="shared" si="28"/>
        <v>0.85385878489326761</v>
      </c>
      <c r="V585" t="str">
        <f t="shared" si="29"/>
        <v>Good Performance</v>
      </c>
    </row>
    <row r="586" spans="1:22" x14ac:dyDescent="0.25">
      <c r="A586" t="s">
        <v>10</v>
      </c>
      <c r="B586" t="s">
        <v>19</v>
      </c>
      <c r="C586" t="s">
        <v>38</v>
      </c>
      <c r="D586" t="s">
        <v>48</v>
      </c>
      <c r="E586">
        <v>442</v>
      </c>
      <c r="F586">
        <v>3</v>
      </c>
      <c r="G586">
        <v>20</v>
      </c>
      <c r="H586">
        <v>8840</v>
      </c>
      <c r="I586">
        <v>1149.2</v>
      </c>
      <c r="J586">
        <v>7690.8</v>
      </c>
      <c r="K586">
        <v>4420</v>
      </c>
      <c r="L586">
        <v>3270.8</v>
      </c>
      <c r="M586" s="4">
        <v>41518</v>
      </c>
      <c r="N586">
        <v>9</v>
      </c>
      <c r="O586" t="s">
        <v>29</v>
      </c>
      <c r="P586" t="s">
        <v>14</v>
      </c>
      <c r="Q586" s="9">
        <f t="shared" si="27"/>
        <v>0.42528735632183912</v>
      </c>
      <c r="R586" s="9">
        <f t="shared" si="28"/>
        <v>0.57471264367816088</v>
      </c>
      <c r="V586" t="str">
        <f t="shared" si="29"/>
        <v>Good Performance</v>
      </c>
    </row>
    <row r="587" spans="1:22" x14ac:dyDescent="0.25">
      <c r="A587" t="s">
        <v>10</v>
      </c>
      <c r="B587" t="s">
        <v>17</v>
      </c>
      <c r="C587" t="s">
        <v>39</v>
      </c>
      <c r="D587" t="s">
        <v>48</v>
      </c>
      <c r="E587">
        <v>982.5</v>
      </c>
      <c r="F587">
        <v>5</v>
      </c>
      <c r="G587">
        <v>350</v>
      </c>
      <c r="H587">
        <v>343875</v>
      </c>
      <c r="I587">
        <v>44703.75</v>
      </c>
      <c r="J587">
        <v>299171.25</v>
      </c>
      <c r="K587">
        <v>255450</v>
      </c>
      <c r="L587">
        <v>43721.25</v>
      </c>
      <c r="M587" s="4">
        <v>41640</v>
      </c>
      <c r="N587">
        <v>1</v>
      </c>
      <c r="O587" t="s">
        <v>21</v>
      </c>
      <c r="P587" t="s">
        <v>15</v>
      </c>
      <c r="Q587" s="9">
        <f t="shared" si="27"/>
        <v>0.14614121510673234</v>
      </c>
      <c r="R587" s="9">
        <f t="shared" si="28"/>
        <v>0.85385878489326761</v>
      </c>
      <c r="V587" t="str">
        <f t="shared" si="29"/>
        <v>Good Performance</v>
      </c>
    </row>
    <row r="588" spans="1:22" x14ac:dyDescent="0.25">
      <c r="A588" t="s">
        <v>10</v>
      </c>
      <c r="B588" t="s">
        <v>17</v>
      </c>
      <c r="C588" t="s">
        <v>39</v>
      </c>
      <c r="D588" t="s">
        <v>48</v>
      </c>
      <c r="E588">
        <v>1298</v>
      </c>
      <c r="F588">
        <v>5</v>
      </c>
      <c r="G588">
        <v>7</v>
      </c>
      <c r="H588">
        <v>9086</v>
      </c>
      <c r="I588">
        <v>1181.18</v>
      </c>
      <c r="J588">
        <v>7904.82</v>
      </c>
      <c r="K588">
        <v>6490</v>
      </c>
      <c r="L588">
        <v>1414.8199999999997</v>
      </c>
      <c r="M588" s="4">
        <v>41671</v>
      </c>
      <c r="N588">
        <v>2</v>
      </c>
      <c r="O588" t="s">
        <v>22</v>
      </c>
      <c r="P588" t="s">
        <v>15</v>
      </c>
      <c r="Q588" s="9">
        <f t="shared" si="27"/>
        <v>0.17898193760262723</v>
      </c>
      <c r="R588" s="9">
        <f t="shared" si="28"/>
        <v>0.82101806239737274</v>
      </c>
      <c r="V588" t="str">
        <f t="shared" si="29"/>
        <v>Good Performance</v>
      </c>
    </row>
    <row r="589" spans="1:22" x14ac:dyDescent="0.25">
      <c r="A589" t="s">
        <v>11</v>
      </c>
      <c r="B589" t="s">
        <v>20</v>
      </c>
      <c r="C589" t="s">
        <v>39</v>
      </c>
      <c r="D589" t="s">
        <v>48</v>
      </c>
      <c r="E589">
        <v>604</v>
      </c>
      <c r="F589">
        <v>5</v>
      </c>
      <c r="G589">
        <v>12</v>
      </c>
      <c r="H589">
        <v>7248</v>
      </c>
      <c r="I589">
        <v>942.24</v>
      </c>
      <c r="J589">
        <v>6305.76</v>
      </c>
      <c r="K589">
        <v>1812</v>
      </c>
      <c r="L589">
        <v>4493.76</v>
      </c>
      <c r="M589" s="4">
        <v>41791</v>
      </c>
      <c r="N589">
        <v>6</v>
      </c>
      <c r="O589" t="s">
        <v>26</v>
      </c>
      <c r="P589" t="s">
        <v>15</v>
      </c>
      <c r="Q589" s="9">
        <f t="shared" si="27"/>
        <v>0.71264367816091956</v>
      </c>
      <c r="R589" s="9">
        <f t="shared" si="28"/>
        <v>0.28735632183908044</v>
      </c>
      <c r="V589" t="str">
        <f t="shared" si="29"/>
        <v>Good Performance</v>
      </c>
    </row>
    <row r="590" spans="1:22" x14ac:dyDescent="0.25">
      <c r="A590" t="s">
        <v>10</v>
      </c>
      <c r="B590" t="s">
        <v>20</v>
      </c>
      <c r="C590" t="s">
        <v>39</v>
      </c>
      <c r="D590" t="s">
        <v>48</v>
      </c>
      <c r="E590">
        <v>2255</v>
      </c>
      <c r="F590">
        <v>5</v>
      </c>
      <c r="G590">
        <v>20</v>
      </c>
      <c r="H590">
        <v>45100</v>
      </c>
      <c r="I590">
        <v>5863</v>
      </c>
      <c r="J590">
        <v>39237</v>
      </c>
      <c r="K590">
        <v>22550</v>
      </c>
      <c r="L590">
        <v>16687</v>
      </c>
      <c r="M590" s="4">
        <v>41821</v>
      </c>
      <c r="N590">
        <v>7</v>
      </c>
      <c r="O590" t="s">
        <v>27</v>
      </c>
      <c r="P590" t="s">
        <v>15</v>
      </c>
      <c r="Q590" s="9">
        <f t="shared" si="27"/>
        <v>0.42528735632183906</v>
      </c>
      <c r="R590" s="9">
        <f t="shared" si="28"/>
        <v>0.57471264367816088</v>
      </c>
      <c r="V590" t="str">
        <f t="shared" si="29"/>
        <v>Good Performance</v>
      </c>
    </row>
    <row r="591" spans="1:22" x14ac:dyDescent="0.25">
      <c r="A591" t="s">
        <v>10</v>
      </c>
      <c r="B591" t="s">
        <v>16</v>
      </c>
      <c r="C591" t="s">
        <v>39</v>
      </c>
      <c r="D591" t="s">
        <v>48</v>
      </c>
      <c r="E591">
        <v>1249</v>
      </c>
      <c r="F591">
        <v>5</v>
      </c>
      <c r="G591">
        <v>20</v>
      </c>
      <c r="H591">
        <v>24980</v>
      </c>
      <c r="I591">
        <v>3247.4</v>
      </c>
      <c r="J591">
        <v>21732.6</v>
      </c>
      <c r="K591">
        <v>12490</v>
      </c>
      <c r="L591">
        <v>9242.5999999999985</v>
      </c>
      <c r="M591" s="4">
        <v>41913</v>
      </c>
      <c r="N591">
        <v>10</v>
      </c>
      <c r="O591" t="s">
        <v>30</v>
      </c>
      <c r="P591" t="s">
        <v>15</v>
      </c>
      <c r="Q591" s="9">
        <f t="shared" si="27"/>
        <v>0.42528735632183906</v>
      </c>
      <c r="R591" s="9">
        <f t="shared" si="28"/>
        <v>0.57471264367816099</v>
      </c>
      <c r="V591" t="str">
        <f t="shared" si="29"/>
        <v>Good Performance</v>
      </c>
    </row>
    <row r="592" spans="1:22" x14ac:dyDescent="0.25">
      <c r="A592" t="s">
        <v>10</v>
      </c>
      <c r="B592" t="s">
        <v>17</v>
      </c>
      <c r="C592" t="s">
        <v>40</v>
      </c>
      <c r="D592" t="s">
        <v>48</v>
      </c>
      <c r="E592">
        <v>1438.5</v>
      </c>
      <c r="F592">
        <v>10</v>
      </c>
      <c r="G592">
        <v>7</v>
      </c>
      <c r="H592">
        <v>10069.5</v>
      </c>
      <c r="I592">
        <v>1309.0350000000001</v>
      </c>
      <c r="J592">
        <v>8760.4650000000001</v>
      </c>
      <c r="K592">
        <v>7192.5</v>
      </c>
      <c r="L592">
        <v>1567.9649999999992</v>
      </c>
      <c r="M592" s="4">
        <v>41640</v>
      </c>
      <c r="N592">
        <v>1</v>
      </c>
      <c r="O592" t="s">
        <v>21</v>
      </c>
      <c r="P592" t="s">
        <v>15</v>
      </c>
      <c r="Q592" s="9">
        <f t="shared" si="27"/>
        <v>0.17898193760262718</v>
      </c>
      <c r="R592" s="9">
        <f t="shared" si="28"/>
        <v>0.82101806239737274</v>
      </c>
      <c r="V592" t="str">
        <f t="shared" si="29"/>
        <v>Good Performance</v>
      </c>
    </row>
    <row r="593" spans="1:22" x14ac:dyDescent="0.25">
      <c r="A593" t="s">
        <v>7</v>
      </c>
      <c r="B593" t="s">
        <v>19</v>
      </c>
      <c r="C593" t="s">
        <v>40</v>
      </c>
      <c r="D593" t="s">
        <v>48</v>
      </c>
      <c r="E593">
        <v>807</v>
      </c>
      <c r="F593">
        <v>10</v>
      </c>
      <c r="G593">
        <v>300</v>
      </c>
      <c r="H593">
        <v>242100</v>
      </c>
      <c r="I593">
        <v>31473</v>
      </c>
      <c r="J593">
        <v>210627</v>
      </c>
      <c r="K593">
        <v>201750</v>
      </c>
      <c r="L593">
        <v>8877</v>
      </c>
      <c r="M593" s="4">
        <v>41640</v>
      </c>
      <c r="N593">
        <v>1</v>
      </c>
      <c r="O593" t="s">
        <v>21</v>
      </c>
      <c r="P593" t="s">
        <v>15</v>
      </c>
      <c r="Q593" s="9">
        <f t="shared" si="27"/>
        <v>4.2145593869731802E-2</v>
      </c>
      <c r="R593" s="9">
        <f t="shared" si="28"/>
        <v>0.95785440613026818</v>
      </c>
      <c r="V593" t="str">
        <f t="shared" si="29"/>
        <v>Under Review</v>
      </c>
    </row>
    <row r="594" spans="1:22" x14ac:dyDescent="0.25">
      <c r="A594" t="s">
        <v>10</v>
      </c>
      <c r="B594" t="s">
        <v>17</v>
      </c>
      <c r="C594" t="s">
        <v>40</v>
      </c>
      <c r="D594" t="s">
        <v>48</v>
      </c>
      <c r="E594">
        <v>2641</v>
      </c>
      <c r="F594">
        <v>10</v>
      </c>
      <c r="G594">
        <v>20</v>
      </c>
      <c r="H594">
        <v>52820</v>
      </c>
      <c r="I594">
        <v>6866.6</v>
      </c>
      <c r="J594">
        <v>45953.4</v>
      </c>
      <c r="K594">
        <v>26410</v>
      </c>
      <c r="L594">
        <v>19543.400000000001</v>
      </c>
      <c r="M594" s="4">
        <v>41671</v>
      </c>
      <c r="N594">
        <v>2</v>
      </c>
      <c r="O594" t="s">
        <v>22</v>
      </c>
      <c r="P594" t="s">
        <v>15</v>
      </c>
      <c r="Q594" s="9">
        <f t="shared" si="27"/>
        <v>0.42528735632183912</v>
      </c>
      <c r="R594" s="9">
        <f t="shared" si="28"/>
        <v>0.57471264367816088</v>
      </c>
      <c r="V594" t="str">
        <f t="shared" si="29"/>
        <v>Good Performance</v>
      </c>
    </row>
    <row r="595" spans="1:22" x14ac:dyDescent="0.25">
      <c r="A595" t="s">
        <v>10</v>
      </c>
      <c r="B595" t="s">
        <v>19</v>
      </c>
      <c r="C595" t="s">
        <v>40</v>
      </c>
      <c r="D595" t="s">
        <v>48</v>
      </c>
      <c r="E595">
        <v>2708</v>
      </c>
      <c r="F595">
        <v>10</v>
      </c>
      <c r="G595">
        <v>20</v>
      </c>
      <c r="H595">
        <v>54160</v>
      </c>
      <c r="I595">
        <v>7040.8</v>
      </c>
      <c r="J595">
        <v>47119.199999999997</v>
      </c>
      <c r="K595">
        <v>27080</v>
      </c>
      <c r="L595">
        <v>20039.199999999997</v>
      </c>
      <c r="M595" s="4">
        <v>41671</v>
      </c>
      <c r="N595">
        <v>2</v>
      </c>
      <c r="O595" t="s">
        <v>22</v>
      </c>
      <c r="P595" t="s">
        <v>15</v>
      </c>
      <c r="Q595" s="9">
        <f t="shared" si="27"/>
        <v>0.42528735632183906</v>
      </c>
      <c r="R595" s="9">
        <f t="shared" si="28"/>
        <v>0.57471264367816099</v>
      </c>
      <c r="V595" t="str">
        <f t="shared" si="29"/>
        <v>Good Performance</v>
      </c>
    </row>
    <row r="596" spans="1:22" x14ac:dyDescent="0.25">
      <c r="A596" t="s">
        <v>10</v>
      </c>
      <c r="B596" t="s">
        <v>16</v>
      </c>
      <c r="C596" t="s">
        <v>40</v>
      </c>
      <c r="D596" t="s">
        <v>48</v>
      </c>
      <c r="E596">
        <v>2632</v>
      </c>
      <c r="F596">
        <v>10</v>
      </c>
      <c r="G596">
        <v>350</v>
      </c>
      <c r="H596">
        <v>921200</v>
      </c>
      <c r="I596">
        <v>119756</v>
      </c>
      <c r="J596">
        <v>801444</v>
      </c>
      <c r="K596">
        <v>684320</v>
      </c>
      <c r="L596">
        <v>117124</v>
      </c>
      <c r="M596" s="4">
        <v>41791</v>
      </c>
      <c r="N596">
        <v>6</v>
      </c>
      <c r="O596" t="s">
        <v>26</v>
      </c>
      <c r="P596" t="s">
        <v>15</v>
      </c>
      <c r="Q596" s="9">
        <f t="shared" si="27"/>
        <v>0.14614121510673234</v>
      </c>
      <c r="R596" s="9">
        <f t="shared" si="28"/>
        <v>0.85385878489326761</v>
      </c>
      <c r="V596" t="str">
        <f t="shared" si="29"/>
        <v>Good Performance</v>
      </c>
    </row>
    <row r="597" spans="1:22" x14ac:dyDescent="0.25">
      <c r="A597" t="s">
        <v>9</v>
      </c>
      <c r="B597" t="s">
        <v>16</v>
      </c>
      <c r="C597" t="s">
        <v>40</v>
      </c>
      <c r="D597" t="s">
        <v>48</v>
      </c>
      <c r="E597">
        <v>1583</v>
      </c>
      <c r="F597">
        <v>10</v>
      </c>
      <c r="G597">
        <v>125</v>
      </c>
      <c r="H597">
        <v>197875</v>
      </c>
      <c r="I597">
        <v>25723.75</v>
      </c>
      <c r="J597">
        <v>172151.25</v>
      </c>
      <c r="K597">
        <v>189960</v>
      </c>
      <c r="L597">
        <v>-17808.75</v>
      </c>
      <c r="M597" s="4">
        <v>41791</v>
      </c>
      <c r="N597">
        <v>6</v>
      </c>
      <c r="O597" t="s">
        <v>26</v>
      </c>
      <c r="P597" t="s">
        <v>15</v>
      </c>
      <c r="Q597" s="9">
        <f t="shared" si="27"/>
        <v>-0.10344827586206896</v>
      </c>
      <c r="R597" s="9">
        <f t="shared" si="28"/>
        <v>1.103448275862069</v>
      </c>
      <c r="V597" t="str">
        <f t="shared" si="29"/>
        <v>Under Review</v>
      </c>
    </row>
    <row r="598" spans="1:22" x14ac:dyDescent="0.25">
      <c r="A598" t="s">
        <v>11</v>
      </c>
      <c r="B598" t="s">
        <v>20</v>
      </c>
      <c r="C598" t="s">
        <v>40</v>
      </c>
      <c r="D598" t="s">
        <v>48</v>
      </c>
      <c r="E598">
        <v>571</v>
      </c>
      <c r="F598">
        <v>10</v>
      </c>
      <c r="G598">
        <v>12</v>
      </c>
      <c r="H598">
        <v>6852</v>
      </c>
      <c r="I598">
        <v>890.76</v>
      </c>
      <c r="J598">
        <v>5961.24</v>
      </c>
      <c r="K598">
        <v>1713</v>
      </c>
      <c r="L598">
        <v>4248.24</v>
      </c>
      <c r="M598" s="4">
        <v>41821</v>
      </c>
      <c r="N598">
        <v>7</v>
      </c>
      <c r="O598" t="s">
        <v>27</v>
      </c>
      <c r="P598" t="s">
        <v>15</v>
      </c>
      <c r="Q598" s="9">
        <f t="shared" si="27"/>
        <v>0.71264367816091956</v>
      </c>
      <c r="R598" s="9">
        <f t="shared" si="28"/>
        <v>0.2873563218390805</v>
      </c>
      <c r="V598" t="str">
        <f t="shared" si="29"/>
        <v>Good Performance</v>
      </c>
    </row>
    <row r="599" spans="1:22" x14ac:dyDescent="0.25">
      <c r="A599" t="s">
        <v>10</v>
      </c>
      <c r="B599" t="s">
        <v>18</v>
      </c>
      <c r="C599" t="s">
        <v>40</v>
      </c>
      <c r="D599" t="s">
        <v>48</v>
      </c>
      <c r="E599">
        <v>2696</v>
      </c>
      <c r="F599">
        <v>10</v>
      </c>
      <c r="G599">
        <v>7</v>
      </c>
      <c r="H599">
        <v>18872</v>
      </c>
      <c r="I599">
        <v>2453.36</v>
      </c>
      <c r="J599">
        <v>16418.64</v>
      </c>
      <c r="K599">
        <v>13480</v>
      </c>
      <c r="L599">
        <v>2938.6399999999994</v>
      </c>
      <c r="M599" s="4">
        <v>41852</v>
      </c>
      <c r="N599">
        <v>8</v>
      </c>
      <c r="O599" t="s">
        <v>28</v>
      </c>
      <c r="P599" t="s">
        <v>15</v>
      </c>
      <c r="Q599" s="9">
        <f t="shared" si="27"/>
        <v>0.17898193760262723</v>
      </c>
      <c r="R599" s="9">
        <f t="shared" si="28"/>
        <v>0.82101806239737274</v>
      </c>
      <c r="V599" t="str">
        <f t="shared" si="29"/>
        <v>Good Performance</v>
      </c>
    </row>
    <row r="600" spans="1:22" x14ac:dyDescent="0.25">
      <c r="A600" t="s">
        <v>8</v>
      </c>
      <c r="B600" t="s">
        <v>16</v>
      </c>
      <c r="C600" t="s">
        <v>40</v>
      </c>
      <c r="D600" t="s">
        <v>48</v>
      </c>
      <c r="E600">
        <v>1565</v>
      </c>
      <c r="F600">
        <v>10</v>
      </c>
      <c r="G600">
        <v>15</v>
      </c>
      <c r="H600">
        <v>23475</v>
      </c>
      <c r="I600">
        <v>3051.75</v>
      </c>
      <c r="J600">
        <v>20423.25</v>
      </c>
      <c r="K600">
        <v>15650</v>
      </c>
      <c r="L600">
        <v>4773.25</v>
      </c>
      <c r="M600" s="4">
        <v>41913</v>
      </c>
      <c r="N600">
        <v>10</v>
      </c>
      <c r="O600" t="s">
        <v>30</v>
      </c>
      <c r="P600" t="s">
        <v>15</v>
      </c>
      <c r="Q600" s="9">
        <f t="shared" si="27"/>
        <v>0.23371647509578544</v>
      </c>
      <c r="R600" s="9">
        <f t="shared" si="28"/>
        <v>0.76628352490421459</v>
      </c>
      <c r="V600" t="str">
        <f t="shared" si="29"/>
        <v>Good Performance</v>
      </c>
    </row>
    <row r="601" spans="1:22" x14ac:dyDescent="0.25">
      <c r="A601" t="s">
        <v>10</v>
      </c>
      <c r="B601" t="s">
        <v>16</v>
      </c>
      <c r="C601" t="s">
        <v>40</v>
      </c>
      <c r="D601" t="s">
        <v>48</v>
      </c>
      <c r="E601">
        <v>1249</v>
      </c>
      <c r="F601">
        <v>10</v>
      </c>
      <c r="G601">
        <v>20</v>
      </c>
      <c r="H601">
        <v>24980</v>
      </c>
      <c r="I601">
        <v>3247.4</v>
      </c>
      <c r="J601">
        <v>21732.6</v>
      </c>
      <c r="K601">
        <v>12490</v>
      </c>
      <c r="L601">
        <v>9242.5999999999985</v>
      </c>
      <c r="M601" s="4">
        <v>41913</v>
      </c>
      <c r="N601">
        <v>10</v>
      </c>
      <c r="O601" t="s">
        <v>30</v>
      </c>
      <c r="P601" t="s">
        <v>15</v>
      </c>
      <c r="Q601" s="9">
        <f t="shared" si="27"/>
        <v>0.42528735632183906</v>
      </c>
      <c r="R601" s="9">
        <f t="shared" si="28"/>
        <v>0.57471264367816099</v>
      </c>
      <c r="V601" t="str">
        <f t="shared" si="29"/>
        <v>Good Performance</v>
      </c>
    </row>
    <row r="602" spans="1:22" x14ac:dyDescent="0.25">
      <c r="A602" t="s">
        <v>10</v>
      </c>
      <c r="B602" t="s">
        <v>19</v>
      </c>
      <c r="C602" t="s">
        <v>40</v>
      </c>
      <c r="D602" t="s">
        <v>48</v>
      </c>
      <c r="E602">
        <v>357</v>
      </c>
      <c r="F602">
        <v>10</v>
      </c>
      <c r="G602">
        <v>350</v>
      </c>
      <c r="H602">
        <v>124950</v>
      </c>
      <c r="I602">
        <v>16243.5</v>
      </c>
      <c r="J602">
        <v>108706.5</v>
      </c>
      <c r="K602">
        <v>92820</v>
      </c>
      <c r="L602">
        <v>15886.5</v>
      </c>
      <c r="M602" s="4">
        <v>41944</v>
      </c>
      <c r="N602">
        <v>11</v>
      </c>
      <c r="O602" t="s">
        <v>31</v>
      </c>
      <c r="P602" t="s">
        <v>15</v>
      </c>
      <c r="Q602" s="9">
        <f t="shared" si="27"/>
        <v>0.14614121510673234</v>
      </c>
      <c r="R602" s="9">
        <f t="shared" si="28"/>
        <v>0.85385878489326761</v>
      </c>
      <c r="V602" t="str">
        <f t="shared" si="29"/>
        <v>Good Performance</v>
      </c>
    </row>
    <row r="603" spans="1:22" x14ac:dyDescent="0.25">
      <c r="A603" t="s">
        <v>11</v>
      </c>
      <c r="B603" t="s">
        <v>19</v>
      </c>
      <c r="C603" t="s">
        <v>40</v>
      </c>
      <c r="D603" t="s">
        <v>48</v>
      </c>
      <c r="E603">
        <v>1013</v>
      </c>
      <c r="F603">
        <v>10</v>
      </c>
      <c r="G603">
        <v>12</v>
      </c>
      <c r="H603">
        <v>12156</v>
      </c>
      <c r="I603">
        <v>1580.28</v>
      </c>
      <c r="J603">
        <v>10575.72</v>
      </c>
      <c r="K603">
        <v>3039</v>
      </c>
      <c r="L603">
        <v>7536.7199999999993</v>
      </c>
      <c r="M603" s="4">
        <v>41974</v>
      </c>
      <c r="N603">
        <v>12</v>
      </c>
      <c r="O603" t="s">
        <v>32</v>
      </c>
      <c r="P603" t="s">
        <v>15</v>
      </c>
      <c r="Q603" s="9">
        <f t="shared" si="27"/>
        <v>0.71264367816091956</v>
      </c>
      <c r="R603" s="9">
        <f t="shared" si="28"/>
        <v>0.2873563218390805</v>
      </c>
      <c r="V603" t="str">
        <f t="shared" si="29"/>
        <v>Good Performance</v>
      </c>
    </row>
    <row r="604" spans="1:22" x14ac:dyDescent="0.25">
      <c r="A604" t="s">
        <v>8</v>
      </c>
      <c r="B604" t="s">
        <v>18</v>
      </c>
      <c r="C604" t="s">
        <v>41</v>
      </c>
      <c r="D604" t="s">
        <v>48</v>
      </c>
      <c r="E604">
        <v>3997.5</v>
      </c>
      <c r="F604">
        <v>120</v>
      </c>
      <c r="G604">
        <v>15</v>
      </c>
      <c r="H604">
        <v>59962.5</v>
      </c>
      <c r="I604">
        <v>7795.125</v>
      </c>
      <c r="J604">
        <v>52167.375</v>
      </c>
      <c r="K604">
        <v>39975</v>
      </c>
      <c r="L604">
        <v>12192.375</v>
      </c>
      <c r="M604" s="4">
        <v>41640</v>
      </c>
      <c r="N604">
        <v>1</v>
      </c>
      <c r="O604" t="s">
        <v>21</v>
      </c>
      <c r="P604" t="s">
        <v>15</v>
      </c>
      <c r="Q604" s="9">
        <f t="shared" si="27"/>
        <v>0.23371647509578544</v>
      </c>
      <c r="R604" s="9">
        <f t="shared" si="28"/>
        <v>0.76628352490421459</v>
      </c>
      <c r="V604" t="str">
        <f t="shared" si="29"/>
        <v>Good Performance</v>
      </c>
    </row>
    <row r="605" spans="1:22" x14ac:dyDescent="0.25">
      <c r="A605" t="s">
        <v>10</v>
      </c>
      <c r="B605" t="s">
        <v>16</v>
      </c>
      <c r="C605" t="s">
        <v>41</v>
      </c>
      <c r="D605" t="s">
        <v>48</v>
      </c>
      <c r="E605">
        <v>2632</v>
      </c>
      <c r="F605">
        <v>120</v>
      </c>
      <c r="G605">
        <v>350</v>
      </c>
      <c r="H605">
        <v>921200</v>
      </c>
      <c r="I605">
        <v>119756</v>
      </c>
      <c r="J605">
        <v>801444</v>
      </c>
      <c r="K605">
        <v>684320</v>
      </c>
      <c r="L605">
        <v>117124</v>
      </c>
      <c r="M605" s="4">
        <v>41791</v>
      </c>
      <c r="N605">
        <v>6</v>
      </c>
      <c r="O605" t="s">
        <v>26</v>
      </c>
      <c r="P605" t="s">
        <v>15</v>
      </c>
      <c r="Q605" s="9">
        <f t="shared" si="27"/>
        <v>0.14614121510673234</v>
      </c>
      <c r="R605" s="9">
        <f t="shared" si="28"/>
        <v>0.85385878489326761</v>
      </c>
      <c r="V605" t="str">
        <f t="shared" si="29"/>
        <v>Good Performance</v>
      </c>
    </row>
    <row r="606" spans="1:22" x14ac:dyDescent="0.25">
      <c r="A606" t="s">
        <v>10</v>
      </c>
      <c r="B606" t="s">
        <v>18</v>
      </c>
      <c r="C606" t="s">
        <v>41</v>
      </c>
      <c r="D606" t="s">
        <v>48</v>
      </c>
      <c r="E606">
        <v>1190</v>
      </c>
      <c r="F606">
        <v>120</v>
      </c>
      <c r="G606">
        <v>7</v>
      </c>
      <c r="H606">
        <v>8330</v>
      </c>
      <c r="I606">
        <v>1082.9000000000001</v>
      </c>
      <c r="J606">
        <v>7247.1</v>
      </c>
      <c r="K606">
        <v>5950</v>
      </c>
      <c r="L606">
        <v>1297.1000000000004</v>
      </c>
      <c r="M606" s="4">
        <v>41791</v>
      </c>
      <c r="N606">
        <v>6</v>
      </c>
      <c r="O606" t="s">
        <v>26</v>
      </c>
      <c r="P606" t="s">
        <v>15</v>
      </c>
      <c r="Q606" s="9">
        <f t="shared" si="27"/>
        <v>0.17898193760262729</v>
      </c>
      <c r="R606" s="9">
        <f t="shared" si="28"/>
        <v>0.82101806239737274</v>
      </c>
      <c r="V606" t="str">
        <f t="shared" si="29"/>
        <v>Good Performance</v>
      </c>
    </row>
    <row r="607" spans="1:22" x14ac:dyDescent="0.25">
      <c r="A607" t="s">
        <v>11</v>
      </c>
      <c r="B607" t="s">
        <v>20</v>
      </c>
      <c r="C607" t="s">
        <v>41</v>
      </c>
      <c r="D607" t="s">
        <v>48</v>
      </c>
      <c r="E607">
        <v>604</v>
      </c>
      <c r="F607">
        <v>120</v>
      </c>
      <c r="G607">
        <v>12</v>
      </c>
      <c r="H607">
        <v>7248</v>
      </c>
      <c r="I607">
        <v>942.24</v>
      </c>
      <c r="J607">
        <v>6305.76</v>
      </c>
      <c r="K607">
        <v>1812</v>
      </c>
      <c r="L607">
        <v>4493.76</v>
      </c>
      <c r="M607" s="4">
        <v>41791</v>
      </c>
      <c r="N607">
        <v>6</v>
      </c>
      <c r="O607" t="s">
        <v>26</v>
      </c>
      <c r="P607" t="s">
        <v>15</v>
      </c>
      <c r="Q607" s="9">
        <f t="shared" si="27"/>
        <v>0.71264367816091956</v>
      </c>
      <c r="R607" s="9">
        <f t="shared" si="28"/>
        <v>0.28735632183908044</v>
      </c>
      <c r="V607" t="str">
        <f t="shared" si="29"/>
        <v>Good Performance</v>
      </c>
    </row>
    <row r="608" spans="1:22" x14ac:dyDescent="0.25">
      <c r="A608" t="s">
        <v>8</v>
      </c>
      <c r="B608" t="s">
        <v>19</v>
      </c>
      <c r="C608" t="s">
        <v>41</v>
      </c>
      <c r="D608" t="s">
        <v>48</v>
      </c>
      <c r="E608">
        <v>660</v>
      </c>
      <c r="F608">
        <v>120</v>
      </c>
      <c r="G608">
        <v>15</v>
      </c>
      <c r="H608">
        <v>9900</v>
      </c>
      <c r="I608">
        <v>1287</v>
      </c>
      <c r="J608">
        <v>8613</v>
      </c>
      <c r="K608">
        <v>6600</v>
      </c>
      <c r="L608">
        <v>2013</v>
      </c>
      <c r="M608" s="4">
        <v>41518</v>
      </c>
      <c r="N608">
        <v>9</v>
      </c>
      <c r="O608" t="s">
        <v>29</v>
      </c>
      <c r="P608" t="s">
        <v>14</v>
      </c>
      <c r="Q608" s="9">
        <f t="shared" si="27"/>
        <v>0.23371647509578544</v>
      </c>
      <c r="R608" s="9">
        <f t="shared" si="28"/>
        <v>0.76628352490421459</v>
      </c>
      <c r="V608" t="str">
        <f t="shared" si="29"/>
        <v>Good Performance</v>
      </c>
    </row>
    <row r="609" spans="1:22" x14ac:dyDescent="0.25">
      <c r="A609" t="s">
        <v>11</v>
      </c>
      <c r="B609" t="s">
        <v>20</v>
      </c>
      <c r="C609" t="s">
        <v>41</v>
      </c>
      <c r="D609" t="s">
        <v>48</v>
      </c>
      <c r="E609">
        <v>410</v>
      </c>
      <c r="F609">
        <v>120</v>
      </c>
      <c r="G609">
        <v>12</v>
      </c>
      <c r="H609">
        <v>4920</v>
      </c>
      <c r="I609">
        <v>639.6</v>
      </c>
      <c r="J609">
        <v>4280.3999999999996</v>
      </c>
      <c r="K609">
        <v>1230</v>
      </c>
      <c r="L609">
        <v>3050.3999999999996</v>
      </c>
      <c r="M609" s="4">
        <v>41913</v>
      </c>
      <c r="N609">
        <v>10</v>
      </c>
      <c r="O609" t="s">
        <v>30</v>
      </c>
      <c r="P609" t="s">
        <v>15</v>
      </c>
      <c r="Q609" s="9">
        <f t="shared" si="27"/>
        <v>0.71264367816091956</v>
      </c>
      <c r="R609" s="9">
        <f t="shared" si="28"/>
        <v>0.2873563218390805</v>
      </c>
      <c r="V609" t="str">
        <f t="shared" si="29"/>
        <v>Good Performance</v>
      </c>
    </row>
    <row r="610" spans="1:22" x14ac:dyDescent="0.25">
      <c r="A610" t="s">
        <v>7</v>
      </c>
      <c r="B610" t="s">
        <v>20</v>
      </c>
      <c r="C610" t="s">
        <v>41</v>
      </c>
      <c r="D610" t="s">
        <v>48</v>
      </c>
      <c r="E610">
        <v>2605</v>
      </c>
      <c r="F610">
        <v>120</v>
      </c>
      <c r="G610">
        <v>300</v>
      </c>
      <c r="H610">
        <v>781500</v>
      </c>
      <c r="I610">
        <v>101595</v>
      </c>
      <c r="J610">
        <v>679905</v>
      </c>
      <c r="K610">
        <v>651250</v>
      </c>
      <c r="L610">
        <v>28655</v>
      </c>
      <c r="M610" s="4">
        <v>41579</v>
      </c>
      <c r="N610">
        <v>11</v>
      </c>
      <c r="O610" t="s">
        <v>31</v>
      </c>
      <c r="P610" t="s">
        <v>14</v>
      </c>
      <c r="Q610" s="9">
        <f t="shared" si="27"/>
        <v>4.2145593869731802E-2</v>
      </c>
      <c r="R610" s="9">
        <f t="shared" si="28"/>
        <v>0.95785440613026818</v>
      </c>
      <c r="V610" t="str">
        <f t="shared" si="29"/>
        <v>Under Review</v>
      </c>
    </row>
    <row r="611" spans="1:22" x14ac:dyDescent="0.25">
      <c r="A611" t="s">
        <v>11</v>
      </c>
      <c r="B611" t="s">
        <v>19</v>
      </c>
      <c r="C611" t="s">
        <v>41</v>
      </c>
      <c r="D611" t="s">
        <v>48</v>
      </c>
      <c r="E611">
        <v>1013</v>
      </c>
      <c r="F611">
        <v>120</v>
      </c>
      <c r="G611">
        <v>12</v>
      </c>
      <c r="H611">
        <v>12156</v>
      </c>
      <c r="I611">
        <v>1580.28</v>
      </c>
      <c r="J611">
        <v>10575.72</v>
      </c>
      <c r="K611">
        <v>3039</v>
      </c>
      <c r="L611">
        <v>7536.7199999999993</v>
      </c>
      <c r="M611" s="4">
        <v>41974</v>
      </c>
      <c r="N611">
        <v>12</v>
      </c>
      <c r="O611" t="s">
        <v>32</v>
      </c>
      <c r="P611" t="s">
        <v>15</v>
      </c>
      <c r="Q611" s="9">
        <f t="shared" si="27"/>
        <v>0.71264367816091956</v>
      </c>
      <c r="R611" s="9">
        <f t="shared" si="28"/>
        <v>0.2873563218390805</v>
      </c>
      <c r="V611" t="str">
        <f t="shared" si="29"/>
        <v>Good Performance</v>
      </c>
    </row>
    <row r="612" spans="1:22" x14ac:dyDescent="0.25">
      <c r="A612" t="s">
        <v>9</v>
      </c>
      <c r="B612" t="s">
        <v>16</v>
      </c>
      <c r="C612" t="s">
        <v>42</v>
      </c>
      <c r="D612" t="s">
        <v>48</v>
      </c>
      <c r="E612">
        <v>1583</v>
      </c>
      <c r="F612">
        <v>250</v>
      </c>
      <c r="G612">
        <v>125</v>
      </c>
      <c r="H612">
        <v>197875</v>
      </c>
      <c r="I612">
        <v>25723.75</v>
      </c>
      <c r="J612">
        <v>172151.25</v>
      </c>
      <c r="K612">
        <v>189960</v>
      </c>
      <c r="L612">
        <v>-17808.75</v>
      </c>
      <c r="M612" s="4">
        <v>41791</v>
      </c>
      <c r="N612">
        <v>6</v>
      </c>
      <c r="O612" t="s">
        <v>26</v>
      </c>
      <c r="P612" t="s">
        <v>15</v>
      </c>
      <c r="Q612" s="9">
        <f t="shared" si="27"/>
        <v>-0.10344827586206896</v>
      </c>
      <c r="R612" s="9">
        <f t="shared" si="28"/>
        <v>1.103448275862069</v>
      </c>
      <c r="V612" t="str">
        <f t="shared" si="29"/>
        <v>Under Review</v>
      </c>
    </row>
    <row r="613" spans="1:22" x14ac:dyDescent="0.25">
      <c r="A613" t="s">
        <v>8</v>
      </c>
      <c r="B613" t="s">
        <v>16</v>
      </c>
      <c r="C613" t="s">
        <v>42</v>
      </c>
      <c r="D613" t="s">
        <v>48</v>
      </c>
      <c r="E613">
        <v>1565</v>
      </c>
      <c r="F613">
        <v>250</v>
      </c>
      <c r="G613">
        <v>15</v>
      </c>
      <c r="H613">
        <v>23475</v>
      </c>
      <c r="I613">
        <v>3051.75</v>
      </c>
      <c r="J613">
        <v>20423.25</v>
      </c>
      <c r="K613">
        <v>15650</v>
      </c>
      <c r="L613">
        <v>4773.25</v>
      </c>
      <c r="M613" s="4">
        <v>41913</v>
      </c>
      <c r="N613">
        <v>10</v>
      </c>
      <c r="O613" t="s">
        <v>30</v>
      </c>
      <c r="P613" t="s">
        <v>15</v>
      </c>
      <c r="Q613" s="9">
        <f t="shared" si="27"/>
        <v>0.23371647509578544</v>
      </c>
      <c r="R613" s="9">
        <f t="shared" si="28"/>
        <v>0.76628352490421459</v>
      </c>
      <c r="V613" t="str">
        <f t="shared" si="29"/>
        <v>Good Performance</v>
      </c>
    </row>
    <row r="614" spans="1:22" x14ac:dyDescent="0.25">
      <c r="A614" t="s">
        <v>9</v>
      </c>
      <c r="B614" t="s">
        <v>16</v>
      </c>
      <c r="C614" t="s">
        <v>43</v>
      </c>
      <c r="D614" t="s">
        <v>48</v>
      </c>
      <c r="E614">
        <v>1659</v>
      </c>
      <c r="F614">
        <v>260</v>
      </c>
      <c r="G614">
        <v>125</v>
      </c>
      <c r="H614">
        <v>207375</v>
      </c>
      <c r="I614">
        <v>26958.75</v>
      </c>
      <c r="J614">
        <v>180416.25</v>
      </c>
      <c r="K614">
        <v>199080</v>
      </c>
      <c r="L614">
        <v>-18663.75</v>
      </c>
      <c r="M614" s="4">
        <v>41640</v>
      </c>
      <c r="N614">
        <v>1</v>
      </c>
      <c r="O614" t="s">
        <v>21</v>
      </c>
      <c r="P614" t="s">
        <v>15</v>
      </c>
      <c r="Q614" s="9">
        <f t="shared" si="27"/>
        <v>-0.10344827586206896</v>
      </c>
      <c r="R614" s="9">
        <f t="shared" si="28"/>
        <v>1.103448275862069</v>
      </c>
      <c r="V614" t="str">
        <f t="shared" si="29"/>
        <v>Under Review</v>
      </c>
    </row>
    <row r="615" spans="1:22" x14ac:dyDescent="0.25">
      <c r="A615" t="s">
        <v>10</v>
      </c>
      <c r="B615" t="s">
        <v>18</v>
      </c>
      <c r="C615" t="s">
        <v>43</v>
      </c>
      <c r="D615" t="s">
        <v>48</v>
      </c>
      <c r="E615">
        <v>1190</v>
      </c>
      <c r="F615">
        <v>260</v>
      </c>
      <c r="G615">
        <v>7</v>
      </c>
      <c r="H615">
        <v>8330</v>
      </c>
      <c r="I615">
        <v>1082.9000000000001</v>
      </c>
      <c r="J615">
        <v>7247.1</v>
      </c>
      <c r="K615">
        <v>5950</v>
      </c>
      <c r="L615">
        <v>1297.1000000000004</v>
      </c>
      <c r="M615" s="4">
        <v>41791</v>
      </c>
      <c r="N615">
        <v>6</v>
      </c>
      <c r="O615" t="s">
        <v>26</v>
      </c>
      <c r="P615" t="s">
        <v>15</v>
      </c>
      <c r="Q615" s="9">
        <f t="shared" si="27"/>
        <v>0.17898193760262729</v>
      </c>
      <c r="R615" s="9">
        <f t="shared" si="28"/>
        <v>0.82101806239737274</v>
      </c>
      <c r="V615" t="str">
        <f t="shared" si="29"/>
        <v>Good Performance</v>
      </c>
    </row>
    <row r="616" spans="1:22" x14ac:dyDescent="0.25">
      <c r="A616" t="s">
        <v>11</v>
      </c>
      <c r="B616" t="s">
        <v>20</v>
      </c>
      <c r="C616" t="s">
        <v>43</v>
      </c>
      <c r="D616" t="s">
        <v>48</v>
      </c>
      <c r="E616">
        <v>410</v>
      </c>
      <c r="F616">
        <v>260</v>
      </c>
      <c r="G616">
        <v>12</v>
      </c>
      <c r="H616">
        <v>4920</v>
      </c>
      <c r="I616">
        <v>639.6</v>
      </c>
      <c r="J616">
        <v>4280.3999999999996</v>
      </c>
      <c r="K616">
        <v>1230</v>
      </c>
      <c r="L616">
        <v>3050.3999999999996</v>
      </c>
      <c r="M616" s="4">
        <v>41913</v>
      </c>
      <c r="N616">
        <v>10</v>
      </c>
      <c r="O616" t="s">
        <v>30</v>
      </c>
      <c r="P616" t="s">
        <v>15</v>
      </c>
      <c r="Q616" s="9">
        <f t="shared" si="27"/>
        <v>0.71264367816091956</v>
      </c>
      <c r="R616" s="9">
        <f t="shared" si="28"/>
        <v>0.2873563218390805</v>
      </c>
      <c r="V616" t="str">
        <f t="shared" si="29"/>
        <v>Good Performance</v>
      </c>
    </row>
    <row r="617" spans="1:22" x14ac:dyDescent="0.25">
      <c r="A617" t="s">
        <v>11</v>
      </c>
      <c r="B617" t="s">
        <v>19</v>
      </c>
      <c r="C617" t="s">
        <v>43</v>
      </c>
      <c r="D617" t="s">
        <v>48</v>
      </c>
      <c r="E617">
        <v>1770</v>
      </c>
      <c r="F617">
        <v>260</v>
      </c>
      <c r="G617">
        <v>12</v>
      </c>
      <c r="H617">
        <v>21240</v>
      </c>
      <c r="I617">
        <v>2761.2</v>
      </c>
      <c r="J617">
        <v>18478.8</v>
      </c>
      <c r="K617">
        <v>5310</v>
      </c>
      <c r="L617">
        <v>13168.8</v>
      </c>
      <c r="M617" s="4">
        <v>41609</v>
      </c>
      <c r="N617">
        <v>12</v>
      </c>
      <c r="O617" t="s">
        <v>32</v>
      </c>
      <c r="P617" t="s">
        <v>14</v>
      </c>
      <c r="Q617" s="9">
        <f t="shared" si="27"/>
        <v>0.71264367816091956</v>
      </c>
      <c r="R617" s="9">
        <f t="shared" si="28"/>
        <v>0.2873563218390805</v>
      </c>
      <c r="V617" t="str">
        <f t="shared" si="29"/>
        <v>Good Performance</v>
      </c>
    </row>
    <row r="618" spans="1:22" x14ac:dyDescent="0.25">
      <c r="A618" t="s">
        <v>10</v>
      </c>
      <c r="B618" t="s">
        <v>20</v>
      </c>
      <c r="C618" t="s">
        <v>38</v>
      </c>
      <c r="D618" t="s">
        <v>48</v>
      </c>
      <c r="E618">
        <v>2579</v>
      </c>
      <c r="F618">
        <v>3</v>
      </c>
      <c r="G618">
        <v>20</v>
      </c>
      <c r="H618">
        <v>51580</v>
      </c>
      <c r="I618">
        <v>7221.2</v>
      </c>
      <c r="J618">
        <v>44358.8</v>
      </c>
      <c r="K618">
        <v>25790</v>
      </c>
      <c r="L618">
        <v>18568.800000000003</v>
      </c>
      <c r="M618" s="4">
        <v>41730</v>
      </c>
      <c r="N618">
        <v>4</v>
      </c>
      <c r="O618" t="s">
        <v>24</v>
      </c>
      <c r="P618" t="s">
        <v>15</v>
      </c>
      <c r="Q618" s="9">
        <f t="shared" si="27"/>
        <v>0.41860465116279072</v>
      </c>
      <c r="R618" s="9">
        <f t="shared" si="28"/>
        <v>0.58139534883720922</v>
      </c>
      <c r="V618" t="str">
        <f t="shared" si="29"/>
        <v>Good Performance</v>
      </c>
    </row>
    <row r="619" spans="1:22" x14ac:dyDescent="0.25">
      <c r="A619" t="s">
        <v>10</v>
      </c>
      <c r="B619" t="s">
        <v>17</v>
      </c>
      <c r="C619" t="s">
        <v>38</v>
      </c>
      <c r="D619" t="s">
        <v>48</v>
      </c>
      <c r="E619">
        <v>1743</v>
      </c>
      <c r="F619">
        <v>3</v>
      </c>
      <c r="G619">
        <v>20</v>
      </c>
      <c r="H619">
        <v>34860</v>
      </c>
      <c r="I619">
        <v>4880.3999999999996</v>
      </c>
      <c r="J619">
        <v>29979.599999999999</v>
      </c>
      <c r="K619">
        <v>17430</v>
      </c>
      <c r="L619">
        <v>12549.599999999999</v>
      </c>
      <c r="M619" s="4">
        <v>41760</v>
      </c>
      <c r="N619">
        <v>5</v>
      </c>
      <c r="O619" t="s">
        <v>25</v>
      </c>
      <c r="P619" t="s">
        <v>15</v>
      </c>
      <c r="Q619" s="9">
        <f t="shared" si="27"/>
        <v>0.41860465116279066</v>
      </c>
      <c r="R619" s="9">
        <f t="shared" si="28"/>
        <v>0.58139534883720934</v>
      </c>
      <c r="V619" t="str">
        <f t="shared" si="29"/>
        <v>Good Performance</v>
      </c>
    </row>
    <row r="620" spans="1:22" x14ac:dyDescent="0.25">
      <c r="A620" t="s">
        <v>10</v>
      </c>
      <c r="B620" t="s">
        <v>17</v>
      </c>
      <c r="C620" t="s">
        <v>38</v>
      </c>
      <c r="D620" t="s">
        <v>48</v>
      </c>
      <c r="E620">
        <v>2996</v>
      </c>
      <c r="F620">
        <v>3</v>
      </c>
      <c r="G620">
        <v>7</v>
      </c>
      <c r="H620">
        <v>20972</v>
      </c>
      <c r="I620">
        <v>2936.08</v>
      </c>
      <c r="J620">
        <v>18035.919999999998</v>
      </c>
      <c r="K620">
        <v>14980</v>
      </c>
      <c r="L620">
        <v>3055.9199999999983</v>
      </c>
      <c r="M620" s="4">
        <v>41548</v>
      </c>
      <c r="N620">
        <v>10</v>
      </c>
      <c r="O620" t="s">
        <v>30</v>
      </c>
      <c r="P620" t="s">
        <v>14</v>
      </c>
      <c r="Q620" s="9">
        <f t="shared" si="27"/>
        <v>0.16943521594684377</v>
      </c>
      <c r="R620" s="9">
        <f t="shared" si="28"/>
        <v>0.83056478405315626</v>
      </c>
      <c r="V620" t="str">
        <f t="shared" si="29"/>
        <v>Good Performance</v>
      </c>
    </row>
    <row r="621" spans="1:22" x14ac:dyDescent="0.25">
      <c r="A621" t="s">
        <v>10</v>
      </c>
      <c r="B621" t="s">
        <v>19</v>
      </c>
      <c r="C621" t="s">
        <v>38</v>
      </c>
      <c r="D621" t="s">
        <v>48</v>
      </c>
      <c r="E621">
        <v>280</v>
      </c>
      <c r="F621">
        <v>3</v>
      </c>
      <c r="G621">
        <v>7</v>
      </c>
      <c r="H621">
        <v>1960</v>
      </c>
      <c r="I621">
        <v>274.39999999999998</v>
      </c>
      <c r="J621">
        <v>1685.6</v>
      </c>
      <c r="K621">
        <v>1400</v>
      </c>
      <c r="L621">
        <v>285.59999999999991</v>
      </c>
      <c r="M621" s="4">
        <v>41974</v>
      </c>
      <c r="N621">
        <v>12</v>
      </c>
      <c r="O621" t="s">
        <v>32</v>
      </c>
      <c r="P621" t="s">
        <v>15</v>
      </c>
      <c r="Q621" s="9">
        <f t="shared" si="27"/>
        <v>0.1694352159468438</v>
      </c>
      <c r="R621" s="9">
        <f t="shared" si="28"/>
        <v>0.83056478405315615</v>
      </c>
      <c r="V621" t="str">
        <f t="shared" si="29"/>
        <v>Good Performance</v>
      </c>
    </row>
    <row r="622" spans="1:22" x14ac:dyDescent="0.25">
      <c r="A622" t="s">
        <v>10</v>
      </c>
      <c r="B622" t="s">
        <v>18</v>
      </c>
      <c r="C622" t="s">
        <v>39</v>
      </c>
      <c r="D622" t="s">
        <v>48</v>
      </c>
      <c r="E622">
        <v>293</v>
      </c>
      <c r="F622">
        <v>5</v>
      </c>
      <c r="G622">
        <v>7</v>
      </c>
      <c r="H622">
        <v>2051</v>
      </c>
      <c r="I622">
        <v>287.14</v>
      </c>
      <c r="J622">
        <v>1763.8600000000001</v>
      </c>
      <c r="K622">
        <v>1465</v>
      </c>
      <c r="L622">
        <v>298.86000000000013</v>
      </c>
      <c r="M622" s="4">
        <v>41671</v>
      </c>
      <c r="N622">
        <v>2</v>
      </c>
      <c r="O622" t="s">
        <v>22</v>
      </c>
      <c r="P622" t="s">
        <v>15</v>
      </c>
      <c r="Q622" s="9">
        <f t="shared" si="27"/>
        <v>0.16943521594684391</v>
      </c>
      <c r="R622" s="9">
        <f t="shared" si="28"/>
        <v>0.83056478405315604</v>
      </c>
      <c r="V622" t="str">
        <f t="shared" si="29"/>
        <v>Good Performance</v>
      </c>
    </row>
    <row r="623" spans="1:22" x14ac:dyDescent="0.25">
      <c r="A623" t="s">
        <v>10</v>
      </c>
      <c r="B623" t="s">
        <v>17</v>
      </c>
      <c r="C623" t="s">
        <v>39</v>
      </c>
      <c r="D623" t="s">
        <v>48</v>
      </c>
      <c r="E623">
        <v>2996</v>
      </c>
      <c r="F623">
        <v>5</v>
      </c>
      <c r="G623">
        <v>7</v>
      </c>
      <c r="H623">
        <v>20972</v>
      </c>
      <c r="I623">
        <v>2936.08</v>
      </c>
      <c r="J623">
        <v>18035.919999999998</v>
      </c>
      <c r="K623">
        <v>14980</v>
      </c>
      <c r="L623">
        <v>3055.9199999999983</v>
      </c>
      <c r="M623" s="4">
        <v>41548</v>
      </c>
      <c r="N623">
        <v>10</v>
      </c>
      <c r="O623" t="s">
        <v>30</v>
      </c>
      <c r="P623" t="s">
        <v>14</v>
      </c>
      <c r="Q623" s="9">
        <f t="shared" si="27"/>
        <v>0.16943521594684377</v>
      </c>
      <c r="R623" s="9">
        <f t="shared" si="28"/>
        <v>0.83056478405315626</v>
      </c>
      <c r="V623" t="str">
        <f t="shared" si="29"/>
        <v>Good Performance</v>
      </c>
    </row>
    <row r="624" spans="1:22" x14ac:dyDescent="0.25">
      <c r="A624" t="s">
        <v>8</v>
      </c>
      <c r="B624" t="s">
        <v>19</v>
      </c>
      <c r="C624" t="s">
        <v>40</v>
      </c>
      <c r="D624" t="s">
        <v>48</v>
      </c>
      <c r="E624">
        <v>278</v>
      </c>
      <c r="F624">
        <v>10</v>
      </c>
      <c r="G624">
        <v>15</v>
      </c>
      <c r="H624">
        <v>4170</v>
      </c>
      <c r="I624">
        <v>583.79999999999995</v>
      </c>
      <c r="J624">
        <v>3586.2</v>
      </c>
      <c r="K624">
        <v>2780</v>
      </c>
      <c r="L624">
        <v>806.19999999999982</v>
      </c>
      <c r="M624" s="4">
        <v>41671</v>
      </c>
      <c r="N624">
        <v>2</v>
      </c>
      <c r="O624" t="s">
        <v>22</v>
      </c>
      <c r="P624" t="s">
        <v>15</v>
      </c>
      <c r="Q624" s="9">
        <f t="shared" si="27"/>
        <v>0.22480620155038755</v>
      </c>
      <c r="R624" s="9">
        <f t="shared" si="28"/>
        <v>0.77519379844961245</v>
      </c>
      <c r="V624" t="str">
        <f t="shared" si="29"/>
        <v>Good Performance</v>
      </c>
    </row>
    <row r="625" spans="1:22" x14ac:dyDescent="0.25">
      <c r="A625" t="s">
        <v>10</v>
      </c>
      <c r="B625" t="s">
        <v>16</v>
      </c>
      <c r="C625" t="s">
        <v>40</v>
      </c>
      <c r="D625" t="s">
        <v>48</v>
      </c>
      <c r="E625">
        <v>2428</v>
      </c>
      <c r="F625">
        <v>10</v>
      </c>
      <c r="G625">
        <v>20</v>
      </c>
      <c r="H625">
        <v>48560</v>
      </c>
      <c r="I625">
        <v>6798.4</v>
      </c>
      <c r="J625">
        <v>41761.599999999999</v>
      </c>
      <c r="K625">
        <v>24280</v>
      </c>
      <c r="L625">
        <v>17481.599999999999</v>
      </c>
      <c r="M625" s="4">
        <v>41699</v>
      </c>
      <c r="N625">
        <v>3</v>
      </c>
      <c r="O625" t="s">
        <v>23</v>
      </c>
      <c r="P625" t="s">
        <v>15</v>
      </c>
      <c r="Q625" s="9">
        <f t="shared" si="27"/>
        <v>0.41860465116279066</v>
      </c>
      <c r="R625" s="9">
        <f t="shared" si="28"/>
        <v>0.58139534883720934</v>
      </c>
      <c r="V625" t="str">
        <f t="shared" si="29"/>
        <v>Good Performance</v>
      </c>
    </row>
    <row r="626" spans="1:22" x14ac:dyDescent="0.25">
      <c r="A626" t="s">
        <v>8</v>
      </c>
      <c r="B626" t="s">
        <v>17</v>
      </c>
      <c r="C626" t="s">
        <v>40</v>
      </c>
      <c r="D626" t="s">
        <v>48</v>
      </c>
      <c r="E626">
        <v>1767</v>
      </c>
      <c r="F626">
        <v>10</v>
      </c>
      <c r="G626">
        <v>15</v>
      </c>
      <c r="H626">
        <v>26505</v>
      </c>
      <c r="I626">
        <v>3710.7</v>
      </c>
      <c r="J626">
        <v>22794.3</v>
      </c>
      <c r="K626">
        <v>17670</v>
      </c>
      <c r="L626">
        <v>5124.2999999999993</v>
      </c>
      <c r="M626" s="4">
        <v>41883</v>
      </c>
      <c r="N626">
        <v>9</v>
      </c>
      <c r="O626" t="s">
        <v>29</v>
      </c>
      <c r="P626" t="s">
        <v>15</v>
      </c>
      <c r="Q626" s="9">
        <f t="shared" si="27"/>
        <v>0.22480620155038758</v>
      </c>
      <c r="R626" s="9">
        <f t="shared" si="28"/>
        <v>0.77519379844961245</v>
      </c>
      <c r="V626" t="str">
        <f t="shared" si="29"/>
        <v>Good Performance</v>
      </c>
    </row>
    <row r="627" spans="1:22" x14ac:dyDescent="0.25">
      <c r="A627" t="s">
        <v>11</v>
      </c>
      <c r="B627" t="s">
        <v>18</v>
      </c>
      <c r="C627" t="s">
        <v>40</v>
      </c>
      <c r="D627" t="s">
        <v>48</v>
      </c>
      <c r="E627">
        <v>1393</v>
      </c>
      <c r="F627">
        <v>10</v>
      </c>
      <c r="G627">
        <v>12</v>
      </c>
      <c r="H627">
        <v>16716</v>
      </c>
      <c r="I627">
        <v>2340.2399999999998</v>
      </c>
      <c r="J627">
        <v>14375.76</v>
      </c>
      <c r="K627">
        <v>4179</v>
      </c>
      <c r="L627">
        <v>10196.76</v>
      </c>
      <c r="M627" s="4">
        <v>41913</v>
      </c>
      <c r="N627">
        <v>10</v>
      </c>
      <c r="O627" t="s">
        <v>30</v>
      </c>
      <c r="P627" t="s">
        <v>15</v>
      </c>
      <c r="Q627" s="9">
        <f t="shared" si="27"/>
        <v>0.70930232558139539</v>
      </c>
      <c r="R627" s="9">
        <f t="shared" si="28"/>
        <v>0.29069767441860467</v>
      </c>
      <c r="V627" t="str">
        <f t="shared" si="29"/>
        <v>Good Performance</v>
      </c>
    </row>
    <row r="628" spans="1:22" x14ac:dyDescent="0.25">
      <c r="A628" t="s">
        <v>10</v>
      </c>
      <c r="B628" t="s">
        <v>19</v>
      </c>
      <c r="C628" t="s">
        <v>42</v>
      </c>
      <c r="D628" t="s">
        <v>48</v>
      </c>
      <c r="E628">
        <v>280</v>
      </c>
      <c r="F628">
        <v>250</v>
      </c>
      <c r="G628">
        <v>7</v>
      </c>
      <c r="H628">
        <v>1960</v>
      </c>
      <c r="I628">
        <v>274.39999999999998</v>
      </c>
      <c r="J628">
        <v>1685.6</v>
      </c>
      <c r="K628">
        <v>1400</v>
      </c>
      <c r="L628">
        <v>285.59999999999991</v>
      </c>
      <c r="M628" s="4">
        <v>41974</v>
      </c>
      <c r="N628">
        <v>12</v>
      </c>
      <c r="O628" t="s">
        <v>32</v>
      </c>
      <c r="P628" t="s">
        <v>15</v>
      </c>
      <c r="Q628" s="9">
        <f t="shared" si="27"/>
        <v>0.1694352159468438</v>
      </c>
      <c r="R628" s="9">
        <f t="shared" si="28"/>
        <v>0.83056478405315615</v>
      </c>
      <c r="V628" t="str">
        <f t="shared" si="29"/>
        <v>Good Performance</v>
      </c>
    </row>
    <row r="629" spans="1:22" x14ac:dyDescent="0.25">
      <c r="A629" t="s">
        <v>11</v>
      </c>
      <c r="B629" t="s">
        <v>18</v>
      </c>
      <c r="C629" t="s">
        <v>43</v>
      </c>
      <c r="D629" t="s">
        <v>48</v>
      </c>
      <c r="E629">
        <v>1393</v>
      </c>
      <c r="F629">
        <v>260</v>
      </c>
      <c r="G629">
        <v>12</v>
      </c>
      <c r="H629">
        <v>16716</v>
      </c>
      <c r="I629">
        <v>2340.2399999999998</v>
      </c>
      <c r="J629">
        <v>14375.76</v>
      </c>
      <c r="K629">
        <v>4179</v>
      </c>
      <c r="L629">
        <v>10196.76</v>
      </c>
      <c r="M629" s="4">
        <v>41913</v>
      </c>
      <c r="N629">
        <v>10</v>
      </c>
      <c r="O629" t="s">
        <v>30</v>
      </c>
      <c r="P629" t="s">
        <v>15</v>
      </c>
      <c r="Q629" s="9">
        <f t="shared" si="27"/>
        <v>0.70930232558139539</v>
      </c>
      <c r="R629" s="9">
        <f t="shared" si="28"/>
        <v>0.29069767441860467</v>
      </c>
      <c r="V629" t="str">
        <f t="shared" si="29"/>
        <v>Good Performance</v>
      </c>
    </row>
    <row r="630" spans="1:22" x14ac:dyDescent="0.25">
      <c r="A630" t="s">
        <v>11</v>
      </c>
      <c r="B630" t="s">
        <v>17</v>
      </c>
      <c r="C630" t="s">
        <v>43</v>
      </c>
      <c r="D630" t="s">
        <v>48</v>
      </c>
      <c r="E630">
        <v>2015</v>
      </c>
      <c r="F630">
        <v>260</v>
      </c>
      <c r="G630">
        <v>12</v>
      </c>
      <c r="H630">
        <v>24180</v>
      </c>
      <c r="I630">
        <v>3385.2</v>
      </c>
      <c r="J630">
        <v>20794.8</v>
      </c>
      <c r="K630">
        <v>6045</v>
      </c>
      <c r="L630">
        <v>14749.8</v>
      </c>
      <c r="M630" s="4">
        <v>41609</v>
      </c>
      <c r="N630">
        <v>12</v>
      </c>
      <c r="O630" t="s">
        <v>32</v>
      </c>
      <c r="P630" t="s">
        <v>14</v>
      </c>
      <c r="Q630" s="9">
        <f t="shared" si="27"/>
        <v>0.70930232558139539</v>
      </c>
      <c r="R630" s="9">
        <f t="shared" si="28"/>
        <v>0.29069767441860467</v>
      </c>
      <c r="V630" t="str">
        <f t="shared" si="29"/>
        <v>Good Performance</v>
      </c>
    </row>
    <row r="631" spans="1:22" x14ac:dyDescent="0.25">
      <c r="A631" t="s">
        <v>7</v>
      </c>
      <c r="B631" t="s">
        <v>20</v>
      </c>
      <c r="C631" t="s">
        <v>38</v>
      </c>
      <c r="D631" t="s">
        <v>48</v>
      </c>
      <c r="E631">
        <v>801</v>
      </c>
      <c r="F631">
        <v>3</v>
      </c>
      <c r="G631">
        <v>300</v>
      </c>
      <c r="H631">
        <v>240300</v>
      </c>
      <c r="I631">
        <v>33642</v>
      </c>
      <c r="J631">
        <v>206658</v>
      </c>
      <c r="K631">
        <v>200250</v>
      </c>
      <c r="L631">
        <v>6408</v>
      </c>
      <c r="M631" s="4">
        <v>41821</v>
      </c>
      <c r="N631">
        <v>7</v>
      </c>
      <c r="O631" t="s">
        <v>27</v>
      </c>
      <c r="P631" t="s">
        <v>15</v>
      </c>
      <c r="Q631" s="9">
        <f t="shared" si="27"/>
        <v>3.1007751937984496E-2</v>
      </c>
      <c r="R631" s="9">
        <f t="shared" si="28"/>
        <v>0.96899224806201545</v>
      </c>
      <c r="V631" t="str">
        <f t="shared" si="29"/>
        <v>Under Review</v>
      </c>
    </row>
    <row r="632" spans="1:22" x14ac:dyDescent="0.25">
      <c r="A632" t="s">
        <v>9</v>
      </c>
      <c r="B632" t="s">
        <v>18</v>
      </c>
      <c r="C632" t="s">
        <v>38</v>
      </c>
      <c r="D632" t="s">
        <v>48</v>
      </c>
      <c r="E632">
        <v>1023</v>
      </c>
      <c r="F632">
        <v>3</v>
      </c>
      <c r="G632">
        <v>125</v>
      </c>
      <c r="H632">
        <v>127875</v>
      </c>
      <c r="I632">
        <v>17902.5</v>
      </c>
      <c r="J632">
        <v>109972.5</v>
      </c>
      <c r="K632">
        <v>122760</v>
      </c>
      <c r="L632">
        <v>-12787.5</v>
      </c>
      <c r="M632" s="4">
        <v>41518</v>
      </c>
      <c r="N632">
        <v>9</v>
      </c>
      <c r="O632" t="s">
        <v>29</v>
      </c>
      <c r="P632" t="s">
        <v>14</v>
      </c>
      <c r="Q632" s="9">
        <f t="shared" si="27"/>
        <v>-0.11627906976744186</v>
      </c>
      <c r="R632" s="9">
        <f t="shared" si="28"/>
        <v>1.1162790697674418</v>
      </c>
      <c r="V632" t="str">
        <f t="shared" si="29"/>
        <v>Under Review</v>
      </c>
    </row>
    <row r="633" spans="1:22" x14ac:dyDescent="0.25">
      <c r="A633" t="s">
        <v>7</v>
      </c>
      <c r="B633" t="s">
        <v>16</v>
      </c>
      <c r="C633" t="s">
        <v>38</v>
      </c>
      <c r="D633" t="s">
        <v>48</v>
      </c>
      <c r="E633">
        <v>1496</v>
      </c>
      <c r="F633">
        <v>3</v>
      </c>
      <c r="G633">
        <v>300</v>
      </c>
      <c r="H633">
        <v>448800</v>
      </c>
      <c r="I633">
        <v>62832</v>
      </c>
      <c r="J633">
        <v>385968</v>
      </c>
      <c r="K633">
        <v>374000</v>
      </c>
      <c r="L633">
        <v>11968</v>
      </c>
      <c r="M633" s="4">
        <v>41913</v>
      </c>
      <c r="N633">
        <v>10</v>
      </c>
      <c r="O633" t="s">
        <v>30</v>
      </c>
      <c r="P633" t="s">
        <v>15</v>
      </c>
      <c r="Q633" s="9">
        <f t="shared" si="27"/>
        <v>3.1007751937984496E-2</v>
      </c>
      <c r="R633" s="9">
        <f t="shared" si="28"/>
        <v>0.96899224806201545</v>
      </c>
      <c r="V633" t="str">
        <f t="shared" si="29"/>
        <v>Under Review</v>
      </c>
    </row>
    <row r="634" spans="1:22" x14ac:dyDescent="0.25">
      <c r="A634" t="s">
        <v>7</v>
      </c>
      <c r="B634" t="s">
        <v>17</v>
      </c>
      <c r="C634" t="s">
        <v>38</v>
      </c>
      <c r="D634" t="s">
        <v>48</v>
      </c>
      <c r="E634">
        <v>1010</v>
      </c>
      <c r="F634">
        <v>3</v>
      </c>
      <c r="G634">
        <v>300</v>
      </c>
      <c r="H634">
        <v>303000</v>
      </c>
      <c r="I634">
        <v>42420</v>
      </c>
      <c r="J634">
        <v>260580</v>
      </c>
      <c r="K634">
        <v>252500</v>
      </c>
      <c r="L634">
        <v>8080</v>
      </c>
      <c r="M634" s="4">
        <v>41913</v>
      </c>
      <c r="N634">
        <v>10</v>
      </c>
      <c r="O634" t="s">
        <v>30</v>
      </c>
      <c r="P634" t="s">
        <v>15</v>
      </c>
      <c r="Q634" s="9">
        <f t="shared" si="27"/>
        <v>3.1007751937984496E-2</v>
      </c>
      <c r="R634" s="9">
        <f t="shared" si="28"/>
        <v>0.96899224806201545</v>
      </c>
      <c r="V634" t="str">
        <f t="shared" si="29"/>
        <v>Under Review</v>
      </c>
    </row>
    <row r="635" spans="1:22" x14ac:dyDescent="0.25">
      <c r="A635" t="s">
        <v>8</v>
      </c>
      <c r="B635" t="s">
        <v>19</v>
      </c>
      <c r="C635" t="s">
        <v>38</v>
      </c>
      <c r="D635" t="s">
        <v>48</v>
      </c>
      <c r="E635">
        <v>1513</v>
      </c>
      <c r="F635">
        <v>3</v>
      </c>
      <c r="G635">
        <v>15</v>
      </c>
      <c r="H635">
        <v>22695</v>
      </c>
      <c r="I635">
        <v>3177.3</v>
      </c>
      <c r="J635">
        <v>19517.7</v>
      </c>
      <c r="K635">
        <v>15130</v>
      </c>
      <c r="L635">
        <v>4387.7000000000007</v>
      </c>
      <c r="M635" s="4">
        <v>41944</v>
      </c>
      <c r="N635">
        <v>11</v>
      </c>
      <c r="O635" t="s">
        <v>31</v>
      </c>
      <c r="P635" t="s">
        <v>15</v>
      </c>
      <c r="Q635" s="9">
        <f t="shared" si="27"/>
        <v>0.22480620155038764</v>
      </c>
      <c r="R635" s="9">
        <f t="shared" si="28"/>
        <v>0.77519379844961234</v>
      </c>
      <c r="V635" t="str">
        <f t="shared" si="29"/>
        <v>Good Performance</v>
      </c>
    </row>
    <row r="636" spans="1:22" x14ac:dyDescent="0.25">
      <c r="A636" t="s">
        <v>8</v>
      </c>
      <c r="B636" t="s">
        <v>16</v>
      </c>
      <c r="C636" t="s">
        <v>38</v>
      </c>
      <c r="D636" t="s">
        <v>48</v>
      </c>
      <c r="E636">
        <v>2300</v>
      </c>
      <c r="F636">
        <v>3</v>
      </c>
      <c r="G636">
        <v>15</v>
      </c>
      <c r="H636">
        <v>34500</v>
      </c>
      <c r="I636">
        <v>4830</v>
      </c>
      <c r="J636">
        <v>29670</v>
      </c>
      <c r="K636">
        <v>23000</v>
      </c>
      <c r="L636">
        <v>6670</v>
      </c>
      <c r="M636" s="4">
        <v>41974</v>
      </c>
      <c r="N636">
        <v>12</v>
      </c>
      <c r="O636" t="s">
        <v>32</v>
      </c>
      <c r="P636" t="s">
        <v>15</v>
      </c>
      <c r="Q636" s="9">
        <f t="shared" si="27"/>
        <v>0.22480620155038761</v>
      </c>
      <c r="R636" s="9">
        <f t="shared" si="28"/>
        <v>0.77519379844961245</v>
      </c>
      <c r="V636" t="str">
        <f t="shared" si="29"/>
        <v>Good Performance</v>
      </c>
    </row>
    <row r="637" spans="1:22" x14ac:dyDescent="0.25">
      <c r="A637" t="s">
        <v>9</v>
      </c>
      <c r="B637" t="s">
        <v>20</v>
      </c>
      <c r="C637" t="s">
        <v>38</v>
      </c>
      <c r="D637" t="s">
        <v>48</v>
      </c>
      <c r="E637">
        <v>2821</v>
      </c>
      <c r="F637">
        <v>3</v>
      </c>
      <c r="G637">
        <v>125</v>
      </c>
      <c r="H637">
        <v>352625</v>
      </c>
      <c r="I637">
        <v>49367.5</v>
      </c>
      <c r="J637">
        <v>303257.5</v>
      </c>
      <c r="K637">
        <v>338520</v>
      </c>
      <c r="L637">
        <v>-35262.5</v>
      </c>
      <c r="M637" s="4">
        <v>41609</v>
      </c>
      <c r="N637">
        <v>12</v>
      </c>
      <c r="O637" t="s">
        <v>32</v>
      </c>
      <c r="P637" t="s">
        <v>14</v>
      </c>
      <c r="Q637" s="9">
        <f t="shared" si="27"/>
        <v>-0.11627906976744186</v>
      </c>
      <c r="R637" s="9">
        <f t="shared" si="28"/>
        <v>1.1162790697674418</v>
      </c>
      <c r="V637" t="str">
        <f t="shared" si="29"/>
        <v>Under Review</v>
      </c>
    </row>
    <row r="638" spans="1:22" x14ac:dyDescent="0.25">
      <c r="A638" t="s">
        <v>10</v>
      </c>
      <c r="B638" t="s">
        <v>16</v>
      </c>
      <c r="C638" t="s">
        <v>39</v>
      </c>
      <c r="D638" t="s">
        <v>48</v>
      </c>
      <c r="E638">
        <v>2227.5</v>
      </c>
      <c r="F638">
        <v>5</v>
      </c>
      <c r="G638">
        <v>350</v>
      </c>
      <c r="H638">
        <v>779625</v>
      </c>
      <c r="I638">
        <v>109147.5</v>
      </c>
      <c r="J638">
        <v>670477.5</v>
      </c>
      <c r="K638">
        <v>579150</v>
      </c>
      <c r="L638">
        <v>91327.5</v>
      </c>
      <c r="M638" s="4">
        <v>41640</v>
      </c>
      <c r="N638">
        <v>1</v>
      </c>
      <c r="O638" t="s">
        <v>21</v>
      </c>
      <c r="P638" t="s">
        <v>15</v>
      </c>
      <c r="Q638" s="9">
        <f t="shared" si="27"/>
        <v>0.13621262458471761</v>
      </c>
      <c r="R638" s="9">
        <f t="shared" si="28"/>
        <v>0.86378737541528239</v>
      </c>
      <c r="V638" t="str">
        <f t="shared" si="29"/>
        <v>Good Performance</v>
      </c>
    </row>
    <row r="639" spans="1:22" x14ac:dyDescent="0.25">
      <c r="A639" t="s">
        <v>10</v>
      </c>
      <c r="B639" t="s">
        <v>19</v>
      </c>
      <c r="C639" t="s">
        <v>39</v>
      </c>
      <c r="D639" t="s">
        <v>48</v>
      </c>
      <c r="E639">
        <v>1199</v>
      </c>
      <c r="F639">
        <v>5</v>
      </c>
      <c r="G639">
        <v>350</v>
      </c>
      <c r="H639">
        <v>419650</v>
      </c>
      <c r="I639">
        <v>58751</v>
      </c>
      <c r="J639">
        <v>360899</v>
      </c>
      <c r="K639">
        <v>311740</v>
      </c>
      <c r="L639">
        <v>49159</v>
      </c>
      <c r="M639" s="4">
        <v>41730</v>
      </c>
      <c r="N639">
        <v>4</v>
      </c>
      <c r="O639" t="s">
        <v>24</v>
      </c>
      <c r="P639" t="s">
        <v>15</v>
      </c>
      <c r="Q639" s="9">
        <f t="shared" si="27"/>
        <v>0.13621262458471761</v>
      </c>
      <c r="R639" s="9">
        <f t="shared" si="28"/>
        <v>0.86378737541528239</v>
      </c>
      <c r="V639" t="str">
        <f t="shared" si="29"/>
        <v>Good Performance</v>
      </c>
    </row>
    <row r="640" spans="1:22" x14ac:dyDescent="0.25">
      <c r="A640" t="s">
        <v>10</v>
      </c>
      <c r="B640" t="s">
        <v>16</v>
      </c>
      <c r="C640" t="s">
        <v>39</v>
      </c>
      <c r="D640" t="s">
        <v>48</v>
      </c>
      <c r="E640">
        <v>200</v>
      </c>
      <c r="F640">
        <v>5</v>
      </c>
      <c r="G640">
        <v>350</v>
      </c>
      <c r="H640">
        <v>70000</v>
      </c>
      <c r="I640">
        <v>9800</v>
      </c>
      <c r="J640">
        <v>60200</v>
      </c>
      <c r="K640">
        <v>52000</v>
      </c>
      <c r="L640">
        <v>8200</v>
      </c>
      <c r="M640" s="4">
        <v>41760</v>
      </c>
      <c r="N640">
        <v>5</v>
      </c>
      <c r="O640" t="s">
        <v>25</v>
      </c>
      <c r="P640" t="s">
        <v>15</v>
      </c>
      <c r="Q640" s="9">
        <f t="shared" si="27"/>
        <v>0.13621262458471761</v>
      </c>
      <c r="R640" s="9">
        <f t="shared" si="28"/>
        <v>0.86378737541528239</v>
      </c>
      <c r="V640" t="str">
        <f t="shared" si="29"/>
        <v>Good Performance</v>
      </c>
    </row>
    <row r="641" spans="1:22" x14ac:dyDescent="0.25">
      <c r="A641" t="s">
        <v>10</v>
      </c>
      <c r="B641" t="s">
        <v>16</v>
      </c>
      <c r="C641" t="s">
        <v>39</v>
      </c>
      <c r="D641" t="s">
        <v>48</v>
      </c>
      <c r="E641">
        <v>388</v>
      </c>
      <c r="F641">
        <v>5</v>
      </c>
      <c r="G641">
        <v>7</v>
      </c>
      <c r="H641">
        <v>2716</v>
      </c>
      <c r="I641">
        <v>380.24</v>
      </c>
      <c r="J641">
        <v>2335.7600000000002</v>
      </c>
      <c r="K641">
        <v>1940</v>
      </c>
      <c r="L641">
        <v>395.76000000000022</v>
      </c>
      <c r="M641" s="4">
        <v>41883</v>
      </c>
      <c r="N641">
        <v>9</v>
      </c>
      <c r="O641" t="s">
        <v>29</v>
      </c>
      <c r="P641" t="s">
        <v>15</v>
      </c>
      <c r="Q641" s="9">
        <f t="shared" si="27"/>
        <v>0.16943521594684394</v>
      </c>
      <c r="R641" s="9">
        <f t="shared" si="28"/>
        <v>0.83056478405315604</v>
      </c>
      <c r="V641" t="str">
        <f t="shared" si="29"/>
        <v>Good Performance</v>
      </c>
    </row>
    <row r="642" spans="1:22" x14ac:dyDescent="0.25">
      <c r="A642" t="s">
        <v>10</v>
      </c>
      <c r="B642" t="s">
        <v>20</v>
      </c>
      <c r="C642" t="s">
        <v>39</v>
      </c>
      <c r="D642" t="s">
        <v>48</v>
      </c>
      <c r="E642">
        <v>1727</v>
      </c>
      <c r="F642">
        <v>5</v>
      </c>
      <c r="G642">
        <v>7</v>
      </c>
      <c r="H642">
        <v>12089</v>
      </c>
      <c r="I642">
        <v>1692.46</v>
      </c>
      <c r="J642">
        <v>10396.540000000001</v>
      </c>
      <c r="K642">
        <v>8635</v>
      </c>
      <c r="L642">
        <v>1761.5400000000009</v>
      </c>
      <c r="M642" s="4">
        <v>41548</v>
      </c>
      <c r="N642">
        <v>10</v>
      </c>
      <c r="O642" t="s">
        <v>30</v>
      </c>
      <c r="P642" t="s">
        <v>14</v>
      </c>
      <c r="Q642" s="9">
        <f t="shared" si="27"/>
        <v>0.16943521594684394</v>
      </c>
      <c r="R642" s="9">
        <f t="shared" si="28"/>
        <v>0.83056478405315604</v>
      </c>
      <c r="V642" t="str">
        <f t="shared" si="29"/>
        <v>Good Performance</v>
      </c>
    </row>
    <row r="643" spans="1:22" x14ac:dyDescent="0.25">
      <c r="A643" t="s">
        <v>8</v>
      </c>
      <c r="B643" t="s">
        <v>16</v>
      </c>
      <c r="C643" t="s">
        <v>39</v>
      </c>
      <c r="D643" t="s">
        <v>48</v>
      </c>
      <c r="E643">
        <v>2300</v>
      </c>
      <c r="F643">
        <v>5</v>
      </c>
      <c r="G643">
        <v>15</v>
      </c>
      <c r="H643">
        <v>34500</v>
      </c>
      <c r="I643">
        <v>4830</v>
      </c>
      <c r="J643">
        <v>29670</v>
      </c>
      <c r="K643">
        <v>23000</v>
      </c>
      <c r="L643">
        <v>6670</v>
      </c>
      <c r="M643" s="4">
        <v>41974</v>
      </c>
      <c r="N643">
        <v>12</v>
      </c>
      <c r="O643" t="s">
        <v>32</v>
      </c>
      <c r="P643" t="s">
        <v>15</v>
      </c>
      <c r="Q643" s="9">
        <f t="shared" ref="Q643:Q705" si="30">L643/J643</f>
        <v>0.22480620155038761</v>
      </c>
      <c r="R643" s="9">
        <f t="shared" ref="R643:R705" si="31">K643/J643</f>
        <v>0.77519379844961245</v>
      </c>
      <c r="V643" t="str">
        <f t="shared" ref="V643:V706" si="32">IF(Q643&lt;0.1, "Under Review", "Good Performance")</f>
        <v>Good Performance</v>
      </c>
    </row>
    <row r="644" spans="1:22" x14ac:dyDescent="0.25">
      <c r="A644" t="s">
        <v>10</v>
      </c>
      <c r="B644" t="s">
        <v>20</v>
      </c>
      <c r="C644" t="s">
        <v>40</v>
      </c>
      <c r="D644" t="s">
        <v>48</v>
      </c>
      <c r="E644">
        <v>260</v>
      </c>
      <c r="F644">
        <v>10</v>
      </c>
      <c r="G644">
        <v>20</v>
      </c>
      <c r="H644">
        <v>5200</v>
      </c>
      <c r="I644">
        <v>728</v>
      </c>
      <c r="J644">
        <v>4472</v>
      </c>
      <c r="K644">
        <v>2600</v>
      </c>
      <c r="L644">
        <v>1872</v>
      </c>
      <c r="M644" s="4">
        <v>41671</v>
      </c>
      <c r="N644">
        <v>2</v>
      </c>
      <c r="O644" t="s">
        <v>22</v>
      </c>
      <c r="P644" t="s">
        <v>15</v>
      </c>
      <c r="Q644" s="9">
        <f t="shared" si="30"/>
        <v>0.41860465116279072</v>
      </c>
      <c r="R644" s="9">
        <f t="shared" si="31"/>
        <v>0.58139534883720934</v>
      </c>
      <c r="V644" t="str">
        <f t="shared" si="32"/>
        <v>Good Performance</v>
      </c>
    </row>
    <row r="645" spans="1:22" x14ac:dyDescent="0.25">
      <c r="A645" t="s">
        <v>8</v>
      </c>
      <c r="B645" t="s">
        <v>16</v>
      </c>
      <c r="C645" t="s">
        <v>40</v>
      </c>
      <c r="D645" t="s">
        <v>48</v>
      </c>
      <c r="E645">
        <v>2470</v>
      </c>
      <c r="F645">
        <v>10</v>
      </c>
      <c r="G645">
        <v>15</v>
      </c>
      <c r="H645">
        <v>37050</v>
      </c>
      <c r="I645">
        <v>5187</v>
      </c>
      <c r="J645">
        <v>31863</v>
      </c>
      <c r="K645">
        <v>24700</v>
      </c>
      <c r="L645">
        <v>7163</v>
      </c>
      <c r="M645" s="4">
        <v>41518</v>
      </c>
      <c r="N645">
        <v>9</v>
      </c>
      <c r="O645" t="s">
        <v>29</v>
      </c>
      <c r="P645" t="s">
        <v>14</v>
      </c>
      <c r="Q645" s="9">
        <f t="shared" si="30"/>
        <v>0.22480620155038761</v>
      </c>
      <c r="R645" s="9">
        <f t="shared" si="31"/>
        <v>0.77519379844961245</v>
      </c>
      <c r="V645" t="str">
        <f t="shared" si="32"/>
        <v>Good Performance</v>
      </c>
    </row>
    <row r="646" spans="1:22" x14ac:dyDescent="0.25">
      <c r="A646" t="s">
        <v>8</v>
      </c>
      <c r="B646" t="s">
        <v>16</v>
      </c>
      <c r="C646" t="s">
        <v>40</v>
      </c>
      <c r="D646" t="s">
        <v>48</v>
      </c>
      <c r="E646">
        <v>1743</v>
      </c>
      <c r="F646">
        <v>10</v>
      </c>
      <c r="G646">
        <v>15</v>
      </c>
      <c r="H646">
        <v>26145</v>
      </c>
      <c r="I646">
        <v>3660.3</v>
      </c>
      <c r="J646">
        <v>22484.7</v>
      </c>
      <c r="K646">
        <v>17430</v>
      </c>
      <c r="L646">
        <v>5054.7000000000007</v>
      </c>
      <c r="M646" s="4">
        <v>41548</v>
      </c>
      <c r="N646">
        <v>10</v>
      </c>
      <c r="O646" t="s">
        <v>30</v>
      </c>
      <c r="P646" t="s">
        <v>14</v>
      </c>
      <c r="Q646" s="9">
        <f t="shared" si="30"/>
        <v>0.22480620155038764</v>
      </c>
      <c r="R646" s="9">
        <f t="shared" si="31"/>
        <v>0.77519379844961234</v>
      </c>
      <c r="V646" t="str">
        <f t="shared" si="32"/>
        <v>Good Performance</v>
      </c>
    </row>
    <row r="647" spans="1:22" x14ac:dyDescent="0.25">
      <c r="A647" t="s">
        <v>11</v>
      </c>
      <c r="B647" t="s">
        <v>17</v>
      </c>
      <c r="C647" t="s">
        <v>40</v>
      </c>
      <c r="D647" t="s">
        <v>48</v>
      </c>
      <c r="E647">
        <v>2914</v>
      </c>
      <c r="F647">
        <v>10</v>
      </c>
      <c r="G647">
        <v>12</v>
      </c>
      <c r="H647">
        <v>34968</v>
      </c>
      <c r="I647">
        <v>4895.5200000000004</v>
      </c>
      <c r="J647">
        <v>30072.48</v>
      </c>
      <c r="K647">
        <v>8742</v>
      </c>
      <c r="L647">
        <v>21330.48</v>
      </c>
      <c r="M647" s="4">
        <v>41913</v>
      </c>
      <c r="N647">
        <v>10</v>
      </c>
      <c r="O647" t="s">
        <v>30</v>
      </c>
      <c r="P647" t="s">
        <v>15</v>
      </c>
      <c r="Q647" s="9">
        <f t="shared" si="30"/>
        <v>0.70930232558139539</v>
      </c>
      <c r="R647" s="9">
        <f t="shared" si="31"/>
        <v>0.29069767441860467</v>
      </c>
      <c r="V647" t="str">
        <f t="shared" si="32"/>
        <v>Good Performance</v>
      </c>
    </row>
    <row r="648" spans="1:22" x14ac:dyDescent="0.25">
      <c r="A648" t="s">
        <v>10</v>
      </c>
      <c r="B648" t="s">
        <v>18</v>
      </c>
      <c r="C648" t="s">
        <v>40</v>
      </c>
      <c r="D648" t="s">
        <v>48</v>
      </c>
      <c r="E648">
        <v>1731</v>
      </c>
      <c r="F648">
        <v>10</v>
      </c>
      <c r="G648">
        <v>7</v>
      </c>
      <c r="H648">
        <v>12117</v>
      </c>
      <c r="I648">
        <v>1696.38</v>
      </c>
      <c r="J648">
        <v>10420.619999999999</v>
      </c>
      <c r="K648">
        <v>8655</v>
      </c>
      <c r="L648">
        <v>1765.619999999999</v>
      </c>
      <c r="M648" s="4">
        <v>41913</v>
      </c>
      <c r="N648">
        <v>10</v>
      </c>
      <c r="O648" t="s">
        <v>30</v>
      </c>
      <c r="P648" t="s">
        <v>15</v>
      </c>
      <c r="Q648" s="9">
        <f t="shared" si="30"/>
        <v>0.16943521594684377</v>
      </c>
      <c r="R648" s="9">
        <f t="shared" si="31"/>
        <v>0.83056478405315626</v>
      </c>
      <c r="V648" t="str">
        <f t="shared" si="32"/>
        <v>Good Performance</v>
      </c>
    </row>
    <row r="649" spans="1:22" x14ac:dyDescent="0.25">
      <c r="A649" t="s">
        <v>10</v>
      </c>
      <c r="B649" t="s">
        <v>16</v>
      </c>
      <c r="C649" t="s">
        <v>40</v>
      </c>
      <c r="D649" t="s">
        <v>48</v>
      </c>
      <c r="E649">
        <v>700</v>
      </c>
      <c r="F649">
        <v>10</v>
      </c>
      <c r="G649">
        <v>350</v>
      </c>
      <c r="H649">
        <v>245000</v>
      </c>
      <c r="I649">
        <v>34300</v>
      </c>
      <c r="J649">
        <v>210700</v>
      </c>
      <c r="K649">
        <v>182000</v>
      </c>
      <c r="L649">
        <v>28700</v>
      </c>
      <c r="M649" s="4">
        <v>41944</v>
      </c>
      <c r="N649">
        <v>11</v>
      </c>
      <c r="O649" t="s">
        <v>31</v>
      </c>
      <c r="P649" t="s">
        <v>15</v>
      </c>
      <c r="Q649" s="9">
        <f t="shared" si="30"/>
        <v>0.13621262458471761</v>
      </c>
      <c r="R649" s="9">
        <f t="shared" si="31"/>
        <v>0.86378737541528239</v>
      </c>
      <c r="V649" t="str">
        <f t="shared" si="32"/>
        <v>Good Performance</v>
      </c>
    </row>
    <row r="650" spans="1:22" x14ac:dyDescent="0.25">
      <c r="A650" t="s">
        <v>11</v>
      </c>
      <c r="B650" t="s">
        <v>16</v>
      </c>
      <c r="C650" t="s">
        <v>40</v>
      </c>
      <c r="D650" t="s">
        <v>48</v>
      </c>
      <c r="E650">
        <v>2222</v>
      </c>
      <c r="F650">
        <v>10</v>
      </c>
      <c r="G650">
        <v>12</v>
      </c>
      <c r="H650">
        <v>26664</v>
      </c>
      <c r="I650">
        <v>3732.96</v>
      </c>
      <c r="J650">
        <v>22931.040000000001</v>
      </c>
      <c r="K650">
        <v>6666</v>
      </c>
      <c r="L650">
        <v>16265.04</v>
      </c>
      <c r="M650" s="4">
        <v>41579</v>
      </c>
      <c r="N650">
        <v>11</v>
      </c>
      <c r="O650" t="s">
        <v>31</v>
      </c>
      <c r="P650" t="s">
        <v>14</v>
      </c>
      <c r="Q650" s="9">
        <f t="shared" si="30"/>
        <v>0.70930232558139539</v>
      </c>
      <c r="R650" s="9">
        <f t="shared" si="31"/>
        <v>0.29069767441860461</v>
      </c>
      <c r="V650" t="str">
        <f t="shared" si="32"/>
        <v>Good Performance</v>
      </c>
    </row>
    <row r="651" spans="1:22" x14ac:dyDescent="0.25">
      <c r="A651" t="s">
        <v>10</v>
      </c>
      <c r="B651" t="s">
        <v>17</v>
      </c>
      <c r="C651" t="s">
        <v>40</v>
      </c>
      <c r="D651" t="s">
        <v>48</v>
      </c>
      <c r="E651">
        <v>1177</v>
      </c>
      <c r="F651">
        <v>10</v>
      </c>
      <c r="G651">
        <v>350</v>
      </c>
      <c r="H651">
        <v>411950</v>
      </c>
      <c r="I651">
        <v>57673</v>
      </c>
      <c r="J651">
        <v>354277</v>
      </c>
      <c r="K651">
        <v>306020</v>
      </c>
      <c r="L651">
        <v>48257</v>
      </c>
      <c r="M651" s="4">
        <v>41944</v>
      </c>
      <c r="N651">
        <v>11</v>
      </c>
      <c r="O651" t="s">
        <v>31</v>
      </c>
      <c r="P651" t="s">
        <v>15</v>
      </c>
      <c r="Q651" s="9">
        <f t="shared" si="30"/>
        <v>0.13621262458471761</v>
      </c>
      <c r="R651" s="9">
        <f t="shared" si="31"/>
        <v>0.86378737541528239</v>
      </c>
      <c r="V651" t="str">
        <f t="shared" si="32"/>
        <v>Good Performance</v>
      </c>
    </row>
    <row r="652" spans="1:22" x14ac:dyDescent="0.25">
      <c r="A652" t="s">
        <v>10</v>
      </c>
      <c r="B652" t="s">
        <v>18</v>
      </c>
      <c r="C652" t="s">
        <v>40</v>
      </c>
      <c r="D652" t="s">
        <v>48</v>
      </c>
      <c r="E652">
        <v>1922</v>
      </c>
      <c r="F652">
        <v>10</v>
      </c>
      <c r="G652">
        <v>350</v>
      </c>
      <c r="H652">
        <v>672700</v>
      </c>
      <c r="I652">
        <v>94178</v>
      </c>
      <c r="J652">
        <v>578522</v>
      </c>
      <c r="K652">
        <v>499720</v>
      </c>
      <c r="L652">
        <v>78802</v>
      </c>
      <c r="M652" s="4">
        <v>41579</v>
      </c>
      <c r="N652">
        <v>11</v>
      </c>
      <c r="O652" t="s">
        <v>31</v>
      </c>
      <c r="P652" t="s">
        <v>14</v>
      </c>
      <c r="Q652" s="9">
        <f t="shared" si="30"/>
        <v>0.13621262458471761</v>
      </c>
      <c r="R652" s="9">
        <f t="shared" si="31"/>
        <v>0.86378737541528239</v>
      </c>
      <c r="V652" t="str">
        <f t="shared" si="32"/>
        <v>Good Performance</v>
      </c>
    </row>
    <row r="653" spans="1:22" x14ac:dyDescent="0.25">
      <c r="A653" t="s">
        <v>9</v>
      </c>
      <c r="B653" t="s">
        <v>20</v>
      </c>
      <c r="C653" t="s">
        <v>41</v>
      </c>
      <c r="D653" t="s">
        <v>48</v>
      </c>
      <c r="E653">
        <v>1575</v>
      </c>
      <c r="F653">
        <v>120</v>
      </c>
      <c r="G653">
        <v>125</v>
      </c>
      <c r="H653">
        <v>196875</v>
      </c>
      <c r="I653">
        <v>27562.5</v>
      </c>
      <c r="J653">
        <v>169312.5</v>
      </c>
      <c r="K653">
        <v>189000</v>
      </c>
      <c r="L653">
        <v>-19687.5</v>
      </c>
      <c r="M653" s="4">
        <v>41671</v>
      </c>
      <c r="N653">
        <v>2</v>
      </c>
      <c r="O653" t="s">
        <v>22</v>
      </c>
      <c r="P653" t="s">
        <v>15</v>
      </c>
      <c r="Q653" s="9">
        <f t="shared" si="30"/>
        <v>-0.11627906976744186</v>
      </c>
      <c r="R653" s="9">
        <f t="shared" si="31"/>
        <v>1.1162790697674418</v>
      </c>
      <c r="V653" t="str">
        <f t="shared" si="32"/>
        <v>Under Review</v>
      </c>
    </row>
    <row r="654" spans="1:22" x14ac:dyDescent="0.25">
      <c r="A654" t="s">
        <v>10</v>
      </c>
      <c r="B654" t="s">
        <v>17</v>
      </c>
      <c r="C654" t="s">
        <v>41</v>
      </c>
      <c r="D654" t="s">
        <v>48</v>
      </c>
      <c r="E654">
        <v>606</v>
      </c>
      <c r="F654">
        <v>120</v>
      </c>
      <c r="G654">
        <v>20</v>
      </c>
      <c r="H654">
        <v>12120</v>
      </c>
      <c r="I654">
        <v>1696.8000000000002</v>
      </c>
      <c r="J654">
        <v>10423.200000000001</v>
      </c>
      <c r="K654">
        <v>6060</v>
      </c>
      <c r="L654">
        <v>4363.2000000000007</v>
      </c>
      <c r="M654" s="4">
        <v>41730</v>
      </c>
      <c r="N654">
        <v>4</v>
      </c>
      <c r="O654" t="s">
        <v>24</v>
      </c>
      <c r="P654" t="s">
        <v>15</v>
      </c>
      <c r="Q654" s="9">
        <f t="shared" si="30"/>
        <v>0.41860465116279072</v>
      </c>
      <c r="R654" s="9">
        <f t="shared" si="31"/>
        <v>0.58139534883720922</v>
      </c>
      <c r="V654" t="str">
        <f t="shared" si="32"/>
        <v>Good Performance</v>
      </c>
    </row>
    <row r="655" spans="1:22" x14ac:dyDescent="0.25">
      <c r="A655" t="s">
        <v>7</v>
      </c>
      <c r="B655" t="s">
        <v>17</v>
      </c>
      <c r="C655" t="s">
        <v>41</v>
      </c>
      <c r="D655" t="s">
        <v>48</v>
      </c>
      <c r="E655">
        <v>2460</v>
      </c>
      <c r="F655">
        <v>120</v>
      </c>
      <c r="G655">
        <v>300</v>
      </c>
      <c r="H655">
        <v>738000</v>
      </c>
      <c r="I655">
        <v>103320</v>
      </c>
      <c r="J655">
        <v>634680</v>
      </c>
      <c r="K655">
        <v>615000</v>
      </c>
      <c r="L655">
        <v>19680</v>
      </c>
      <c r="M655" s="4">
        <v>41821</v>
      </c>
      <c r="N655">
        <v>7</v>
      </c>
      <c r="O655" t="s">
        <v>27</v>
      </c>
      <c r="P655" t="s">
        <v>15</v>
      </c>
      <c r="Q655" s="9">
        <f t="shared" si="30"/>
        <v>3.1007751937984496E-2</v>
      </c>
      <c r="R655" s="9">
        <f t="shared" si="31"/>
        <v>0.96899224806201545</v>
      </c>
      <c r="V655" t="str">
        <f t="shared" si="32"/>
        <v>Under Review</v>
      </c>
    </row>
    <row r="656" spans="1:22" x14ac:dyDescent="0.25">
      <c r="A656" t="s">
        <v>7</v>
      </c>
      <c r="B656" t="s">
        <v>16</v>
      </c>
      <c r="C656" t="s">
        <v>41</v>
      </c>
      <c r="D656" t="s">
        <v>48</v>
      </c>
      <c r="E656">
        <v>269</v>
      </c>
      <c r="F656">
        <v>120</v>
      </c>
      <c r="G656">
        <v>300</v>
      </c>
      <c r="H656">
        <v>80700</v>
      </c>
      <c r="I656">
        <v>11298</v>
      </c>
      <c r="J656">
        <v>69402</v>
      </c>
      <c r="K656">
        <v>67250</v>
      </c>
      <c r="L656">
        <v>2152</v>
      </c>
      <c r="M656" s="4">
        <v>41548</v>
      </c>
      <c r="N656">
        <v>10</v>
      </c>
      <c r="O656" t="s">
        <v>30</v>
      </c>
      <c r="P656" t="s">
        <v>14</v>
      </c>
      <c r="Q656" s="9">
        <f t="shared" si="30"/>
        <v>3.1007751937984496E-2</v>
      </c>
      <c r="R656" s="9">
        <f t="shared" si="31"/>
        <v>0.96899224806201545</v>
      </c>
      <c r="V656" t="str">
        <f t="shared" si="32"/>
        <v>Under Review</v>
      </c>
    </row>
    <row r="657" spans="1:22" x14ac:dyDescent="0.25">
      <c r="A657" t="s">
        <v>7</v>
      </c>
      <c r="B657" t="s">
        <v>19</v>
      </c>
      <c r="C657" t="s">
        <v>41</v>
      </c>
      <c r="D657" t="s">
        <v>48</v>
      </c>
      <c r="E657">
        <v>2536</v>
      </c>
      <c r="F657">
        <v>120</v>
      </c>
      <c r="G657">
        <v>300</v>
      </c>
      <c r="H657">
        <v>760800</v>
      </c>
      <c r="I657">
        <v>106512</v>
      </c>
      <c r="J657">
        <v>654288</v>
      </c>
      <c r="K657">
        <v>634000</v>
      </c>
      <c r="L657">
        <v>20288</v>
      </c>
      <c r="M657" s="4">
        <v>41579</v>
      </c>
      <c r="N657">
        <v>11</v>
      </c>
      <c r="O657" t="s">
        <v>31</v>
      </c>
      <c r="P657" t="s">
        <v>14</v>
      </c>
      <c r="Q657" s="9">
        <f t="shared" si="30"/>
        <v>3.1007751937984496E-2</v>
      </c>
      <c r="R657" s="9">
        <f t="shared" si="31"/>
        <v>0.96899224806201545</v>
      </c>
      <c r="V657" t="str">
        <f t="shared" si="32"/>
        <v>Under Review</v>
      </c>
    </row>
    <row r="658" spans="1:22" x14ac:dyDescent="0.25">
      <c r="A658" t="s">
        <v>10</v>
      </c>
      <c r="B658" t="s">
        <v>20</v>
      </c>
      <c r="C658" t="s">
        <v>42</v>
      </c>
      <c r="D658" t="s">
        <v>48</v>
      </c>
      <c r="E658">
        <v>2903</v>
      </c>
      <c r="F658">
        <v>250</v>
      </c>
      <c r="G658">
        <v>7</v>
      </c>
      <c r="H658">
        <v>20321</v>
      </c>
      <c r="I658">
        <v>2844.94</v>
      </c>
      <c r="J658">
        <v>17476.060000000001</v>
      </c>
      <c r="K658">
        <v>14515</v>
      </c>
      <c r="L658">
        <v>2961.0600000000013</v>
      </c>
      <c r="M658" s="4">
        <v>41699</v>
      </c>
      <c r="N658">
        <v>3</v>
      </c>
      <c r="O658" t="s">
        <v>23</v>
      </c>
      <c r="P658" t="s">
        <v>15</v>
      </c>
      <c r="Q658" s="9">
        <f t="shared" si="30"/>
        <v>0.16943521594684391</v>
      </c>
      <c r="R658" s="9">
        <f t="shared" si="31"/>
        <v>0.83056478405315604</v>
      </c>
      <c r="V658" t="str">
        <f t="shared" si="32"/>
        <v>Good Performance</v>
      </c>
    </row>
    <row r="659" spans="1:22" x14ac:dyDescent="0.25">
      <c r="A659" t="s">
        <v>7</v>
      </c>
      <c r="B659" t="s">
        <v>17</v>
      </c>
      <c r="C659" t="s">
        <v>42</v>
      </c>
      <c r="D659" t="s">
        <v>48</v>
      </c>
      <c r="E659">
        <v>2541</v>
      </c>
      <c r="F659">
        <v>250</v>
      </c>
      <c r="G659">
        <v>300</v>
      </c>
      <c r="H659">
        <v>762300</v>
      </c>
      <c r="I659">
        <v>106722</v>
      </c>
      <c r="J659">
        <v>655578</v>
      </c>
      <c r="K659">
        <v>635250</v>
      </c>
      <c r="L659">
        <v>20328</v>
      </c>
      <c r="M659" s="4">
        <v>41852</v>
      </c>
      <c r="N659">
        <v>8</v>
      </c>
      <c r="O659" t="s">
        <v>28</v>
      </c>
      <c r="P659" t="s">
        <v>15</v>
      </c>
      <c r="Q659" s="9">
        <f t="shared" si="30"/>
        <v>3.1007751937984496E-2</v>
      </c>
      <c r="R659" s="9">
        <f t="shared" si="31"/>
        <v>0.96899224806201545</v>
      </c>
      <c r="V659" t="str">
        <f t="shared" si="32"/>
        <v>Under Review</v>
      </c>
    </row>
    <row r="660" spans="1:22" x14ac:dyDescent="0.25">
      <c r="A660" t="s">
        <v>7</v>
      </c>
      <c r="B660" t="s">
        <v>16</v>
      </c>
      <c r="C660" t="s">
        <v>42</v>
      </c>
      <c r="D660" t="s">
        <v>48</v>
      </c>
      <c r="E660">
        <v>269</v>
      </c>
      <c r="F660">
        <v>250</v>
      </c>
      <c r="G660">
        <v>300</v>
      </c>
      <c r="H660">
        <v>80700</v>
      </c>
      <c r="I660">
        <v>11298</v>
      </c>
      <c r="J660">
        <v>69402</v>
      </c>
      <c r="K660">
        <v>67250</v>
      </c>
      <c r="L660">
        <v>2152</v>
      </c>
      <c r="M660" s="4">
        <v>41548</v>
      </c>
      <c r="N660">
        <v>10</v>
      </c>
      <c r="O660" t="s">
        <v>30</v>
      </c>
      <c r="P660" t="s">
        <v>14</v>
      </c>
      <c r="Q660" s="9">
        <f t="shared" si="30"/>
        <v>3.1007751937984496E-2</v>
      </c>
      <c r="R660" s="9">
        <f t="shared" si="31"/>
        <v>0.96899224806201545</v>
      </c>
      <c r="V660" t="str">
        <f t="shared" si="32"/>
        <v>Under Review</v>
      </c>
    </row>
    <row r="661" spans="1:22" x14ac:dyDescent="0.25">
      <c r="A661" t="s">
        <v>7</v>
      </c>
      <c r="B661" t="s">
        <v>16</v>
      </c>
      <c r="C661" t="s">
        <v>42</v>
      </c>
      <c r="D661" t="s">
        <v>48</v>
      </c>
      <c r="E661">
        <v>1496</v>
      </c>
      <c r="F661">
        <v>250</v>
      </c>
      <c r="G661">
        <v>300</v>
      </c>
      <c r="H661">
        <v>448800</v>
      </c>
      <c r="I661">
        <v>62832</v>
      </c>
      <c r="J661">
        <v>385968</v>
      </c>
      <c r="K661">
        <v>374000</v>
      </c>
      <c r="L661">
        <v>11968</v>
      </c>
      <c r="M661" s="4">
        <v>41913</v>
      </c>
      <c r="N661">
        <v>10</v>
      </c>
      <c r="O661" t="s">
        <v>30</v>
      </c>
      <c r="P661" t="s">
        <v>15</v>
      </c>
      <c r="Q661" s="9">
        <f t="shared" si="30"/>
        <v>3.1007751937984496E-2</v>
      </c>
      <c r="R661" s="9">
        <f t="shared" si="31"/>
        <v>0.96899224806201545</v>
      </c>
      <c r="V661" t="str">
        <f t="shared" si="32"/>
        <v>Under Review</v>
      </c>
    </row>
    <row r="662" spans="1:22" x14ac:dyDescent="0.25">
      <c r="A662" t="s">
        <v>7</v>
      </c>
      <c r="B662" t="s">
        <v>17</v>
      </c>
      <c r="C662" t="s">
        <v>42</v>
      </c>
      <c r="D662" t="s">
        <v>48</v>
      </c>
      <c r="E662">
        <v>1010</v>
      </c>
      <c r="F662">
        <v>250</v>
      </c>
      <c r="G662">
        <v>300</v>
      </c>
      <c r="H662">
        <v>303000</v>
      </c>
      <c r="I662">
        <v>42420</v>
      </c>
      <c r="J662">
        <v>260580</v>
      </c>
      <c r="K662">
        <v>252500</v>
      </c>
      <c r="L662">
        <v>8080</v>
      </c>
      <c r="M662" s="4">
        <v>41913</v>
      </c>
      <c r="N662">
        <v>10</v>
      </c>
      <c r="O662" t="s">
        <v>30</v>
      </c>
      <c r="P662" t="s">
        <v>15</v>
      </c>
      <c r="Q662" s="9">
        <f t="shared" si="30"/>
        <v>3.1007751937984496E-2</v>
      </c>
      <c r="R662" s="9">
        <f t="shared" si="31"/>
        <v>0.96899224806201545</v>
      </c>
      <c r="V662" t="str">
        <f t="shared" si="32"/>
        <v>Under Review</v>
      </c>
    </row>
    <row r="663" spans="1:22" x14ac:dyDescent="0.25">
      <c r="A663" t="s">
        <v>10</v>
      </c>
      <c r="B663" t="s">
        <v>18</v>
      </c>
      <c r="C663" t="s">
        <v>42</v>
      </c>
      <c r="D663" t="s">
        <v>48</v>
      </c>
      <c r="E663">
        <v>1281</v>
      </c>
      <c r="F663">
        <v>250</v>
      </c>
      <c r="G663">
        <v>350</v>
      </c>
      <c r="H663">
        <v>448350</v>
      </c>
      <c r="I663">
        <v>62769</v>
      </c>
      <c r="J663">
        <v>385581</v>
      </c>
      <c r="K663">
        <v>333060</v>
      </c>
      <c r="L663">
        <v>52521</v>
      </c>
      <c r="M663" s="4">
        <v>41609</v>
      </c>
      <c r="N663">
        <v>12</v>
      </c>
      <c r="O663" t="s">
        <v>32</v>
      </c>
      <c r="P663" t="s">
        <v>14</v>
      </c>
      <c r="Q663" s="9">
        <f t="shared" si="30"/>
        <v>0.13621262458471761</v>
      </c>
      <c r="R663" s="9">
        <f t="shared" si="31"/>
        <v>0.86378737541528239</v>
      </c>
      <c r="V663" t="str">
        <f t="shared" si="32"/>
        <v>Good Performance</v>
      </c>
    </row>
    <row r="664" spans="1:22" x14ac:dyDescent="0.25">
      <c r="A664" t="s">
        <v>7</v>
      </c>
      <c r="B664" t="s">
        <v>16</v>
      </c>
      <c r="C664" t="s">
        <v>43</v>
      </c>
      <c r="D664" t="s">
        <v>48</v>
      </c>
      <c r="E664">
        <v>888</v>
      </c>
      <c r="F664">
        <v>260</v>
      </c>
      <c r="G664">
        <v>300</v>
      </c>
      <c r="H664">
        <v>266400</v>
      </c>
      <c r="I664">
        <v>37296</v>
      </c>
      <c r="J664">
        <v>229104</v>
      </c>
      <c r="K664">
        <v>222000</v>
      </c>
      <c r="L664">
        <v>7104</v>
      </c>
      <c r="M664" s="4">
        <v>41699</v>
      </c>
      <c r="N664">
        <v>3</v>
      </c>
      <c r="O664" t="s">
        <v>23</v>
      </c>
      <c r="P664" t="s">
        <v>15</v>
      </c>
      <c r="Q664" s="9">
        <f t="shared" si="30"/>
        <v>3.1007751937984496E-2</v>
      </c>
      <c r="R664" s="9">
        <f t="shared" si="31"/>
        <v>0.96899224806201545</v>
      </c>
      <c r="V664" t="str">
        <f t="shared" si="32"/>
        <v>Under Review</v>
      </c>
    </row>
    <row r="665" spans="1:22" x14ac:dyDescent="0.25">
      <c r="A665" t="s">
        <v>9</v>
      </c>
      <c r="B665" t="s">
        <v>17</v>
      </c>
      <c r="C665" t="s">
        <v>43</v>
      </c>
      <c r="D665" t="s">
        <v>48</v>
      </c>
      <c r="E665">
        <v>2844</v>
      </c>
      <c r="F665">
        <v>260</v>
      </c>
      <c r="G665">
        <v>125</v>
      </c>
      <c r="H665">
        <v>355500</v>
      </c>
      <c r="I665">
        <v>49770</v>
      </c>
      <c r="J665">
        <v>305730</v>
      </c>
      <c r="K665">
        <v>341280</v>
      </c>
      <c r="L665">
        <v>-35550</v>
      </c>
      <c r="M665" s="4">
        <v>41760</v>
      </c>
      <c r="N665">
        <v>5</v>
      </c>
      <c r="O665" t="s">
        <v>25</v>
      </c>
      <c r="P665" t="s">
        <v>15</v>
      </c>
      <c r="Q665" s="9">
        <f t="shared" si="30"/>
        <v>-0.11627906976744186</v>
      </c>
      <c r="R665" s="9">
        <f t="shared" si="31"/>
        <v>1.1162790697674418</v>
      </c>
      <c r="V665" t="str">
        <f t="shared" si="32"/>
        <v>Under Review</v>
      </c>
    </row>
    <row r="666" spans="1:22" x14ac:dyDescent="0.25">
      <c r="A666" t="s">
        <v>11</v>
      </c>
      <c r="B666" t="s">
        <v>18</v>
      </c>
      <c r="C666" t="s">
        <v>43</v>
      </c>
      <c r="D666" t="s">
        <v>48</v>
      </c>
      <c r="E666">
        <v>2475</v>
      </c>
      <c r="F666">
        <v>260</v>
      </c>
      <c r="G666">
        <v>12</v>
      </c>
      <c r="H666">
        <v>29700</v>
      </c>
      <c r="I666">
        <v>4158</v>
      </c>
      <c r="J666">
        <v>25542</v>
      </c>
      <c r="K666">
        <v>7425</v>
      </c>
      <c r="L666">
        <v>18117</v>
      </c>
      <c r="M666" s="4">
        <v>41852</v>
      </c>
      <c r="N666">
        <v>8</v>
      </c>
      <c r="O666" t="s">
        <v>28</v>
      </c>
      <c r="P666" t="s">
        <v>15</v>
      </c>
      <c r="Q666" s="9">
        <f t="shared" si="30"/>
        <v>0.70930232558139539</v>
      </c>
      <c r="R666" s="9">
        <f t="shared" si="31"/>
        <v>0.29069767441860467</v>
      </c>
      <c r="V666" t="str">
        <f t="shared" si="32"/>
        <v>Good Performance</v>
      </c>
    </row>
    <row r="667" spans="1:22" x14ac:dyDescent="0.25">
      <c r="A667" t="s">
        <v>8</v>
      </c>
      <c r="B667" t="s">
        <v>16</v>
      </c>
      <c r="C667" t="s">
        <v>43</v>
      </c>
      <c r="D667" t="s">
        <v>48</v>
      </c>
      <c r="E667">
        <v>1743</v>
      </c>
      <c r="F667">
        <v>260</v>
      </c>
      <c r="G667">
        <v>15</v>
      </c>
      <c r="H667">
        <v>26145</v>
      </c>
      <c r="I667">
        <v>3660.3</v>
      </c>
      <c r="J667">
        <v>22484.7</v>
      </c>
      <c r="K667">
        <v>17430</v>
      </c>
      <c r="L667">
        <v>5054.7000000000007</v>
      </c>
      <c r="M667" s="4">
        <v>41548</v>
      </c>
      <c r="N667">
        <v>10</v>
      </c>
      <c r="O667" t="s">
        <v>30</v>
      </c>
      <c r="P667" t="s">
        <v>14</v>
      </c>
      <c r="Q667" s="9">
        <f t="shared" si="30"/>
        <v>0.22480620155038764</v>
      </c>
      <c r="R667" s="9">
        <f t="shared" si="31"/>
        <v>0.77519379844961234</v>
      </c>
      <c r="V667" t="str">
        <f t="shared" si="32"/>
        <v>Good Performance</v>
      </c>
    </row>
    <row r="668" spans="1:22" x14ac:dyDescent="0.25">
      <c r="A668" t="s">
        <v>11</v>
      </c>
      <c r="B668" t="s">
        <v>17</v>
      </c>
      <c r="C668" t="s">
        <v>43</v>
      </c>
      <c r="D668" t="s">
        <v>48</v>
      </c>
      <c r="E668">
        <v>2914</v>
      </c>
      <c r="F668">
        <v>260</v>
      </c>
      <c r="G668">
        <v>12</v>
      </c>
      <c r="H668">
        <v>34968</v>
      </c>
      <c r="I668">
        <v>4895.5200000000004</v>
      </c>
      <c r="J668">
        <v>30072.48</v>
      </c>
      <c r="K668">
        <v>8742</v>
      </c>
      <c r="L668">
        <v>21330.48</v>
      </c>
      <c r="M668" s="4">
        <v>41913</v>
      </c>
      <c r="N668">
        <v>10</v>
      </c>
      <c r="O668" t="s">
        <v>30</v>
      </c>
      <c r="P668" t="s">
        <v>15</v>
      </c>
      <c r="Q668" s="9">
        <f t="shared" si="30"/>
        <v>0.70930232558139539</v>
      </c>
      <c r="R668" s="9">
        <f t="shared" si="31"/>
        <v>0.29069767441860467</v>
      </c>
      <c r="V668" t="str">
        <f t="shared" si="32"/>
        <v>Good Performance</v>
      </c>
    </row>
    <row r="669" spans="1:22" x14ac:dyDescent="0.25">
      <c r="A669" t="s">
        <v>10</v>
      </c>
      <c r="B669" t="s">
        <v>18</v>
      </c>
      <c r="C669" t="s">
        <v>43</v>
      </c>
      <c r="D669" t="s">
        <v>48</v>
      </c>
      <c r="E669">
        <v>1731</v>
      </c>
      <c r="F669">
        <v>260</v>
      </c>
      <c r="G669">
        <v>7</v>
      </c>
      <c r="H669">
        <v>12117</v>
      </c>
      <c r="I669">
        <v>1696.38</v>
      </c>
      <c r="J669">
        <v>10420.619999999999</v>
      </c>
      <c r="K669">
        <v>8655</v>
      </c>
      <c r="L669">
        <v>1765.619999999999</v>
      </c>
      <c r="M669" s="4">
        <v>41913</v>
      </c>
      <c r="N669">
        <v>10</v>
      </c>
      <c r="O669" t="s">
        <v>30</v>
      </c>
      <c r="P669" t="s">
        <v>15</v>
      </c>
      <c r="Q669" s="9">
        <f t="shared" si="30"/>
        <v>0.16943521594684377</v>
      </c>
      <c r="R669" s="9">
        <f t="shared" si="31"/>
        <v>0.83056478405315626</v>
      </c>
      <c r="V669" t="str">
        <f t="shared" si="32"/>
        <v>Good Performance</v>
      </c>
    </row>
    <row r="670" spans="1:22" x14ac:dyDescent="0.25">
      <c r="A670" t="s">
        <v>10</v>
      </c>
      <c r="B670" t="s">
        <v>20</v>
      </c>
      <c r="C670" t="s">
        <v>43</v>
      </c>
      <c r="D670" t="s">
        <v>48</v>
      </c>
      <c r="E670">
        <v>1727</v>
      </c>
      <c r="F670">
        <v>260</v>
      </c>
      <c r="G670">
        <v>7</v>
      </c>
      <c r="H670">
        <v>12089</v>
      </c>
      <c r="I670">
        <v>1692.46</v>
      </c>
      <c r="J670">
        <v>10396.540000000001</v>
      </c>
      <c r="K670">
        <v>8635</v>
      </c>
      <c r="L670">
        <v>1761.5400000000009</v>
      </c>
      <c r="M670" s="4">
        <v>41548</v>
      </c>
      <c r="N670">
        <v>10</v>
      </c>
      <c r="O670" t="s">
        <v>30</v>
      </c>
      <c r="P670" t="s">
        <v>14</v>
      </c>
      <c r="Q670" s="9">
        <f t="shared" si="30"/>
        <v>0.16943521594684394</v>
      </c>
      <c r="R670" s="9">
        <f t="shared" si="31"/>
        <v>0.83056478405315604</v>
      </c>
      <c r="V670" t="str">
        <f t="shared" si="32"/>
        <v>Good Performance</v>
      </c>
    </row>
    <row r="671" spans="1:22" x14ac:dyDescent="0.25">
      <c r="A671" t="s">
        <v>8</v>
      </c>
      <c r="B671" t="s">
        <v>20</v>
      </c>
      <c r="C671" t="s">
        <v>43</v>
      </c>
      <c r="D671" t="s">
        <v>48</v>
      </c>
      <c r="E671">
        <v>1870</v>
      </c>
      <c r="F671">
        <v>260</v>
      </c>
      <c r="G671">
        <v>15</v>
      </c>
      <c r="H671">
        <v>28050</v>
      </c>
      <c r="I671">
        <v>3927</v>
      </c>
      <c r="J671">
        <v>24123</v>
      </c>
      <c r="K671">
        <v>18700</v>
      </c>
      <c r="L671">
        <v>5423</v>
      </c>
      <c r="M671" s="4">
        <v>41579</v>
      </c>
      <c r="N671">
        <v>11</v>
      </c>
      <c r="O671" t="s">
        <v>31</v>
      </c>
      <c r="P671" t="s">
        <v>14</v>
      </c>
      <c r="Q671" s="9">
        <f t="shared" si="30"/>
        <v>0.22480620155038761</v>
      </c>
      <c r="R671" s="9">
        <f t="shared" si="31"/>
        <v>0.77519379844961245</v>
      </c>
      <c r="V671" t="str">
        <f t="shared" si="32"/>
        <v>Good Performance</v>
      </c>
    </row>
    <row r="672" spans="1:22" x14ac:dyDescent="0.25">
      <c r="A672" t="s">
        <v>9</v>
      </c>
      <c r="B672" t="s">
        <v>18</v>
      </c>
      <c r="C672" t="s">
        <v>38</v>
      </c>
      <c r="D672" t="s">
        <v>48</v>
      </c>
      <c r="E672">
        <v>1174</v>
      </c>
      <c r="F672">
        <v>3</v>
      </c>
      <c r="G672">
        <v>125</v>
      </c>
      <c r="H672">
        <v>146750</v>
      </c>
      <c r="I672">
        <v>22012.5</v>
      </c>
      <c r="J672">
        <v>124737.5</v>
      </c>
      <c r="K672">
        <v>140880</v>
      </c>
      <c r="L672">
        <v>-16142.5</v>
      </c>
      <c r="M672" s="4">
        <v>41852</v>
      </c>
      <c r="N672">
        <v>8</v>
      </c>
      <c r="O672" t="s">
        <v>28</v>
      </c>
      <c r="P672" t="s">
        <v>15</v>
      </c>
      <c r="Q672" s="9">
        <f t="shared" si="30"/>
        <v>-0.12941176470588237</v>
      </c>
      <c r="R672" s="9">
        <f t="shared" si="31"/>
        <v>1.1294117647058823</v>
      </c>
      <c r="V672" t="str">
        <f t="shared" si="32"/>
        <v>Under Review</v>
      </c>
    </row>
    <row r="673" spans="1:22" x14ac:dyDescent="0.25">
      <c r="A673" t="s">
        <v>9</v>
      </c>
      <c r="B673" t="s">
        <v>19</v>
      </c>
      <c r="C673" t="s">
        <v>38</v>
      </c>
      <c r="D673" t="s">
        <v>48</v>
      </c>
      <c r="E673">
        <v>2767</v>
      </c>
      <c r="F673">
        <v>3</v>
      </c>
      <c r="G673">
        <v>125</v>
      </c>
      <c r="H673">
        <v>345875</v>
      </c>
      <c r="I673">
        <v>51881.25</v>
      </c>
      <c r="J673">
        <v>293993.75</v>
      </c>
      <c r="K673">
        <v>332040</v>
      </c>
      <c r="L673">
        <v>-38046.25</v>
      </c>
      <c r="M673" s="4">
        <v>41852</v>
      </c>
      <c r="N673">
        <v>8</v>
      </c>
      <c r="O673" t="s">
        <v>28</v>
      </c>
      <c r="P673" t="s">
        <v>15</v>
      </c>
      <c r="Q673" s="9">
        <f t="shared" si="30"/>
        <v>-0.12941176470588237</v>
      </c>
      <c r="R673" s="9">
        <f t="shared" si="31"/>
        <v>1.1294117647058823</v>
      </c>
      <c r="V673" t="str">
        <f t="shared" si="32"/>
        <v>Under Review</v>
      </c>
    </row>
    <row r="674" spans="1:22" x14ac:dyDescent="0.25">
      <c r="A674" t="s">
        <v>9</v>
      </c>
      <c r="B674" t="s">
        <v>19</v>
      </c>
      <c r="C674" t="s">
        <v>38</v>
      </c>
      <c r="D674" t="s">
        <v>48</v>
      </c>
      <c r="E674">
        <v>1085</v>
      </c>
      <c r="F674">
        <v>3</v>
      </c>
      <c r="G674">
        <v>125</v>
      </c>
      <c r="H674">
        <v>135625</v>
      </c>
      <c r="I674">
        <v>20343.75</v>
      </c>
      <c r="J674">
        <v>115281.25</v>
      </c>
      <c r="K674">
        <v>130200</v>
      </c>
      <c r="L674">
        <v>-14918.75</v>
      </c>
      <c r="M674" s="4">
        <v>41913</v>
      </c>
      <c r="N674">
        <v>10</v>
      </c>
      <c r="O674" t="s">
        <v>30</v>
      </c>
      <c r="P674" t="s">
        <v>15</v>
      </c>
      <c r="Q674" s="9">
        <f t="shared" si="30"/>
        <v>-0.12941176470588237</v>
      </c>
      <c r="R674" s="9">
        <f t="shared" si="31"/>
        <v>1.1294117647058823</v>
      </c>
      <c r="V674" t="str">
        <f t="shared" si="32"/>
        <v>Under Review</v>
      </c>
    </row>
    <row r="675" spans="1:22" x14ac:dyDescent="0.25">
      <c r="A675" t="s">
        <v>7</v>
      </c>
      <c r="B675" t="s">
        <v>20</v>
      </c>
      <c r="C675" t="s">
        <v>39</v>
      </c>
      <c r="D675" t="s">
        <v>48</v>
      </c>
      <c r="E675">
        <v>546</v>
      </c>
      <c r="F675">
        <v>5</v>
      </c>
      <c r="G675">
        <v>300</v>
      </c>
      <c r="H675">
        <v>163800</v>
      </c>
      <c r="I675">
        <v>24570</v>
      </c>
      <c r="J675">
        <v>139230</v>
      </c>
      <c r="K675">
        <v>136500</v>
      </c>
      <c r="L675">
        <v>2730</v>
      </c>
      <c r="M675" s="4">
        <v>41913</v>
      </c>
      <c r="N675">
        <v>10</v>
      </c>
      <c r="O675" t="s">
        <v>30</v>
      </c>
      <c r="P675" t="s">
        <v>15</v>
      </c>
      <c r="Q675" s="9">
        <f t="shared" si="30"/>
        <v>1.9607843137254902E-2</v>
      </c>
      <c r="R675" s="9">
        <f t="shared" si="31"/>
        <v>0.98039215686274506</v>
      </c>
      <c r="V675" t="str">
        <f t="shared" si="32"/>
        <v>Under Review</v>
      </c>
    </row>
    <row r="676" spans="1:22" x14ac:dyDescent="0.25">
      <c r="A676" t="s">
        <v>10</v>
      </c>
      <c r="B676" t="s">
        <v>19</v>
      </c>
      <c r="C676" t="s">
        <v>40</v>
      </c>
      <c r="D676" t="s">
        <v>48</v>
      </c>
      <c r="E676">
        <v>1158</v>
      </c>
      <c r="F676">
        <v>10</v>
      </c>
      <c r="G676">
        <v>20</v>
      </c>
      <c r="H676">
        <v>23160</v>
      </c>
      <c r="I676">
        <v>3474</v>
      </c>
      <c r="J676">
        <v>19686</v>
      </c>
      <c r="K676">
        <v>11580</v>
      </c>
      <c r="L676">
        <v>8106</v>
      </c>
      <c r="M676" s="4">
        <v>41699</v>
      </c>
      <c r="N676">
        <v>3</v>
      </c>
      <c r="O676" t="s">
        <v>23</v>
      </c>
      <c r="P676" t="s">
        <v>15</v>
      </c>
      <c r="Q676" s="9">
        <f t="shared" si="30"/>
        <v>0.41176470588235292</v>
      </c>
      <c r="R676" s="9">
        <f t="shared" si="31"/>
        <v>0.58823529411764708</v>
      </c>
      <c r="V676" t="str">
        <f t="shared" si="32"/>
        <v>Good Performance</v>
      </c>
    </row>
    <row r="677" spans="1:22" x14ac:dyDescent="0.25">
      <c r="A677" t="s">
        <v>8</v>
      </c>
      <c r="B677" t="s">
        <v>16</v>
      </c>
      <c r="C677" t="s">
        <v>40</v>
      </c>
      <c r="D677" t="s">
        <v>48</v>
      </c>
      <c r="E677">
        <v>1614</v>
      </c>
      <c r="F677">
        <v>10</v>
      </c>
      <c r="G677">
        <v>15</v>
      </c>
      <c r="H677">
        <v>24210</v>
      </c>
      <c r="I677">
        <v>3631.5</v>
      </c>
      <c r="J677">
        <v>20578.5</v>
      </c>
      <c r="K677">
        <v>16140</v>
      </c>
      <c r="L677">
        <v>4438.5</v>
      </c>
      <c r="M677" s="4">
        <v>41730</v>
      </c>
      <c r="N677">
        <v>4</v>
      </c>
      <c r="O677" t="s">
        <v>24</v>
      </c>
      <c r="P677" t="s">
        <v>15</v>
      </c>
      <c r="Q677" s="9">
        <f t="shared" si="30"/>
        <v>0.21568627450980393</v>
      </c>
      <c r="R677" s="9">
        <f t="shared" si="31"/>
        <v>0.78431372549019607</v>
      </c>
      <c r="V677" t="str">
        <f t="shared" si="32"/>
        <v>Good Performance</v>
      </c>
    </row>
    <row r="678" spans="1:22" x14ac:dyDescent="0.25">
      <c r="A678" t="s">
        <v>10</v>
      </c>
      <c r="B678" t="s">
        <v>20</v>
      </c>
      <c r="C678" t="s">
        <v>40</v>
      </c>
      <c r="D678" t="s">
        <v>48</v>
      </c>
      <c r="E678">
        <v>2535</v>
      </c>
      <c r="F678">
        <v>10</v>
      </c>
      <c r="G678">
        <v>7</v>
      </c>
      <c r="H678">
        <v>17745</v>
      </c>
      <c r="I678">
        <v>2661.75</v>
      </c>
      <c r="J678">
        <v>15083.25</v>
      </c>
      <c r="K678">
        <v>12675</v>
      </c>
      <c r="L678">
        <v>2408.25</v>
      </c>
      <c r="M678" s="4">
        <v>41730</v>
      </c>
      <c r="N678">
        <v>4</v>
      </c>
      <c r="O678" t="s">
        <v>24</v>
      </c>
      <c r="P678" t="s">
        <v>15</v>
      </c>
      <c r="Q678" s="9">
        <f t="shared" si="30"/>
        <v>0.15966386554621848</v>
      </c>
      <c r="R678" s="9">
        <f t="shared" si="31"/>
        <v>0.84033613445378152</v>
      </c>
      <c r="V678" t="str">
        <f t="shared" si="32"/>
        <v>Good Performance</v>
      </c>
    </row>
    <row r="679" spans="1:22" x14ac:dyDescent="0.25">
      <c r="A679" t="s">
        <v>10</v>
      </c>
      <c r="B679" t="s">
        <v>20</v>
      </c>
      <c r="C679" t="s">
        <v>40</v>
      </c>
      <c r="D679" t="s">
        <v>48</v>
      </c>
      <c r="E679">
        <v>2851</v>
      </c>
      <c r="F679">
        <v>10</v>
      </c>
      <c r="G679">
        <v>350</v>
      </c>
      <c r="H679">
        <v>997850</v>
      </c>
      <c r="I679">
        <v>149677.5</v>
      </c>
      <c r="J679">
        <v>848172.5</v>
      </c>
      <c r="K679">
        <v>741260</v>
      </c>
      <c r="L679">
        <v>106912.5</v>
      </c>
      <c r="M679" s="4">
        <v>41760</v>
      </c>
      <c r="N679">
        <v>5</v>
      </c>
      <c r="O679" t="s">
        <v>25</v>
      </c>
      <c r="P679" t="s">
        <v>15</v>
      </c>
      <c r="Q679" s="9">
        <f t="shared" si="30"/>
        <v>0.12605042016806722</v>
      </c>
      <c r="R679" s="9">
        <f t="shared" si="31"/>
        <v>0.87394957983193278</v>
      </c>
      <c r="V679" t="str">
        <f t="shared" si="32"/>
        <v>Good Performance</v>
      </c>
    </row>
    <row r="680" spans="1:22" x14ac:dyDescent="0.25">
      <c r="A680" t="s">
        <v>8</v>
      </c>
      <c r="B680" t="s">
        <v>16</v>
      </c>
      <c r="C680" t="s">
        <v>40</v>
      </c>
      <c r="D680" t="s">
        <v>48</v>
      </c>
      <c r="E680">
        <v>2559</v>
      </c>
      <c r="F680">
        <v>10</v>
      </c>
      <c r="G680">
        <v>15</v>
      </c>
      <c r="H680">
        <v>38385</v>
      </c>
      <c r="I680">
        <v>5757.75</v>
      </c>
      <c r="J680">
        <v>32627.25</v>
      </c>
      <c r="K680">
        <v>25590</v>
      </c>
      <c r="L680">
        <v>7037.25</v>
      </c>
      <c r="M680" s="4">
        <v>41852</v>
      </c>
      <c r="N680">
        <v>8</v>
      </c>
      <c r="O680" t="s">
        <v>28</v>
      </c>
      <c r="P680" t="s">
        <v>15</v>
      </c>
      <c r="Q680" s="9">
        <f t="shared" si="30"/>
        <v>0.21568627450980393</v>
      </c>
      <c r="R680" s="9">
        <f t="shared" si="31"/>
        <v>0.78431372549019607</v>
      </c>
      <c r="V680" t="str">
        <f t="shared" si="32"/>
        <v>Good Performance</v>
      </c>
    </row>
    <row r="681" spans="1:22" x14ac:dyDescent="0.25">
      <c r="A681" t="s">
        <v>10</v>
      </c>
      <c r="B681" t="s">
        <v>17</v>
      </c>
      <c r="C681" t="s">
        <v>40</v>
      </c>
      <c r="D681" t="s">
        <v>48</v>
      </c>
      <c r="E681">
        <v>267</v>
      </c>
      <c r="F681">
        <v>10</v>
      </c>
      <c r="G681">
        <v>20</v>
      </c>
      <c r="H681">
        <v>5340</v>
      </c>
      <c r="I681">
        <v>801</v>
      </c>
      <c r="J681">
        <v>4539</v>
      </c>
      <c r="K681">
        <v>2670</v>
      </c>
      <c r="L681">
        <v>1869</v>
      </c>
      <c r="M681" s="4">
        <v>41548</v>
      </c>
      <c r="N681">
        <v>10</v>
      </c>
      <c r="O681" t="s">
        <v>30</v>
      </c>
      <c r="P681" t="s">
        <v>14</v>
      </c>
      <c r="Q681" s="9">
        <f t="shared" si="30"/>
        <v>0.41176470588235292</v>
      </c>
      <c r="R681" s="9">
        <f t="shared" si="31"/>
        <v>0.58823529411764708</v>
      </c>
      <c r="V681" t="str">
        <f t="shared" si="32"/>
        <v>Good Performance</v>
      </c>
    </row>
    <row r="682" spans="1:22" x14ac:dyDescent="0.25">
      <c r="A682" t="s">
        <v>9</v>
      </c>
      <c r="B682" t="s">
        <v>19</v>
      </c>
      <c r="C682" t="s">
        <v>40</v>
      </c>
      <c r="D682" t="s">
        <v>48</v>
      </c>
      <c r="E682">
        <v>1085</v>
      </c>
      <c r="F682">
        <v>10</v>
      </c>
      <c r="G682">
        <v>125</v>
      </c>
      <c r="H682">
        <v>135625</v>
      </c>
      <c r="I682">
        <v>20343.75</v>
      </c>
      <c r="J682">
        <v>115281.25</v>
      </c>
      <c r="K682">
        <v>130200</v>
      </c>
      <c r="L682">
        <v>-14918.75</v>
      </c>
      <c r="M682" s="4">
        <v>41913</v>
      </c>
      <c r="N682">
        <v>10</v>
      </c>
      <c r="O682" t="s">
        <v>30</v>
      </c>
      <c r="P682" t="s">
        <v>15</v>
      </c>
      <c r="Q682" s="9">
        <f t="shared" si="30"/>
        <v>-0.12941176470588237</v>
      </c>
      <c r="R682" s="9">
        <f t="shared" si="31"/>
        <v>1.1294117647058823</v>
      </c>
      <c r="V682" t="str">
        <f t="shared" si="32"/>
        <v>Under Review</v>
      </c>
    </row>
    <row r="683" spans="1:22" x14ac:dyDescent="0.25">
      <c r="A683" t="s">
        <v>8</v>
      </c>
      <c r="B683" t="s">
        <v>19</v>
      </c>
      <c r="C683" t="s">
        <v>40</v>
      </c>
      <c r="D683" t="s">
        <v>48</v>
      </c>
      <c r="E683">
        <v>1175</v>
      </c>
      <c r="F683">
        <v>10</v>
      </c>
      <c r="G683">
        <v>15</v>
      </c>
      <c r="H683">
        <v>17625</v>
      </c>
      <c r="I683">
        <v>2643.75</v>
      </c>
      <c r="J683">
        <v>14981.25</v>
      </c>
      <c r="K683">
        <v>11750</v>
      </c>
      <c r="L683">
        <v>3231.25</v>
      </c>
      <c r="M683" s="4">
        <v>41913</v>
      </c>
      <c r="N683">
        <v>10</v>
      </c>
      <c r="O683" t="s">
        <v>30</v>
      </c>
      <c r="P683" t="s">
        <v>15</v>
      </c>
      <c r="Q683" s="9">
        <f t="shared" si="30"/>
        <v>0.21568627450980393</v>
      </c>
      <c r="R683" s="9">
        <f t="shared" si="31"/>
        <v>0.78431372549019607</v>
      </c>
      <c r="V683" t="str">
        <f t="shared" si="32"/>
        <v>Good Performance</v>
      </c>
    </row>
    <row r="684" spans="1:22" x14ac:dyDescent="0.25">
      <c r="A684" t="s">
        <v>10</v>
      </c>
      <c r="B684" t="s">
        <v>17</v>
      </c>
      <c r="C684" t="s">
        <v>40</v>
      </c>
      <c r="D684" t="s">
        <v>48</v>
      </c>
      <c r="E684">
        <v>2007</v>
      </c>
      <c r="F684">
        <v>10</v>
      </c>
      <c r="G684">
        <v>350</v>
      </c>
      <c r="H684">
        <v>702450</v>
      </c>
      <c r="I684">
        <v>105367.5</v>
      </c>
      <c r="J684">
        <v>597082.5</v>
      </c>
      <c r="K684">
        <v>521820</v>
      </c>
      <c r="L684">
        <v>75262.5</v>
      </c>
      <c r="M684" s="4">
        <v>41579</v>
      </c>
      <c r="N684">
        <v>11</v>
      </c>
      <c r="O684" t="s">
        <v>31</v>
      </c>
      <c r="P684" t="s">
        <v>14</v>
      </c>
      <c r="Q684" s="9">
        <f t="shared" si="30"/>
        <v>0.12605042016806722</v>
      </c>
      <c r="R684" s="9">
        <f t="shared" si="31"/>
        <v>0.87394957983193278</v>
      </c>
      <c r="V684" t="str">
        <f t="shared" si="32"/>
        <v>Good Performance</v>
      </c>
    </row>
    <row r="685" spans="1:22" x14ac:dyDescent="0.25">
      <c r="A685" t="s">
        <v>10</v>
      </c>
      <c r="B685" t="s">
        <v>20</v>
      </c>
      <c r="C685" t="s">
        <v>40</v>
      </c>
      <c r="D685" t="s">
        <v>48</v>
      </c>
      <c r="E685">
        <v>2151</v>
      </c>
      <c r="F685">
        <v>10</v>
      </c>
      <c r="G685">
        <v>350</v>
      </c>
      <c r="H685">
        <v>752850</v>
      </c>
      <c r="I685">
        <v>112927.5</v>
      </c>
      <c r="J685">
        <v>639922.5</v>
      </c>
      <c r="K685">
        <v>559260</v>
      </c>
      <c r="L685">
        <v>80662.5</v>
      </c>
      <c r="M685" s="4">
        <v>41579</v>
      </c>
      <c r="N685">
        <v>11</v>
      </c>
      <c r="O685" t="s">
        <v>31</v>
      </c>
      <c r="P685" t="s">
        <v>14</v>
      </c>
      <c r="Q685" s="9">
        <f t="shared" si="30"/>
        <v>0.12605042016806722</v>
      </c>
      <c r="R685" s="9">
        <f t="shared" si="31"/>
        <v>0.87394957983193278</v>
      </c>
      <c r="V685" t="str">
        <f t="shared" si="32"/>
        <v>Good Performance</v>
      </c>
    </row>
    <row r="686" spans="1:22" x14ac:dyDescent="0.25">
      <c r="A686" t="s">
        <v>11</v>
      </c>
      <c r="B686" t="s">
        <v>17</v>
      </c>
      <c r="C686" t="s">
        <v>40</v>
      </c>
      <c r="D686" t="s">
        <v>48</v>
      </c>
      <c r="E686">
        <v>914</v>
      </c>
      <c r="F686">
        <v>10</v>
      </c>
      <c r="G686">
        <v>12</v>
      </c>
      <c r="H686">
        <v>10968</v>
      </c>
      <c r="I686">
        <v>1645.2</v>
      </c>
      <c r="J686">
        <v>9322.7999999999993</v>
      </c>
      <c r="K686">
        <v>2742</v>
      </c>
      <c r="L686">
        <v>6580.7999999999993</v>
      </c>
      <c r="M686" s="4">
        <v>41974</v>
      </c>
      <c r="N686">
        <v>12</v>
      </c>
      <c r="O686" t="s">
        <v>32</v>
      </c>
      <c r="P686" t="s">
        <v>15</v>
      </c>
      <c r="Q686" s="9">
        <f t="shared" si="30"/>
        <v>0.70588235294117641</v>
      </c>
      <c r="R686" s="9">
        <f t="shared" si="31"/>
        <v>0.29411764705882354</v>
      </c>
      <c r="V686" t="str">
        <f t="shared" si="32"/>
        <v>Good Performance</v>
      </c>
    </row>
    <row r="687" spans="1:22" x14ac:dyDescent="0.25">
      <c r="A687" t="s">
        <v>10</v>
      </c>
      <c r="B687" t="s">
        <v>18</v>
      </c>
      <c r="C687" t="s">
        <v>40</v>
      </c>
      <c r="D687" t="s">
        <v>48</v>
      </c>
      <c r="E687">
        <v>293</v>
      </c>
      <c r="F687">
        <v>10</v>
      </c>
      <c r="G687">
        <v>20</v>
      </c>
      <c r="H687">
        <v>5860</v>
      </c>
      <c r="I687">
        <v>879</v>
      </c>
      <c r="J687">
        <v>4981</v>
      </c>
      <c r="K687">
        <v>2930</v>
      </c>
      <c r="L687">
        <v>2051</v>
      </c>
      <c r="M687" s="4">
        <v>41974</v>
      </c>
      <c r="N687">
        <v>12</v>
      </c>
      <c r="O687" t="s">
        <v>32</v>
      </c>
      <c r="P687" t="s">
        <v>15</v>
      </c>
      <c r="Q687" s="9">
        <f t="shared" si="30"/>
        <v>0.41176470588235292</v>
      </c>
      <c r="R687" s="9">
        <f t="shared" si="31"/>
        <v>0.58823529411764708</v>
      </c>
      <c r="V687" t="str">
        <f t="shared" si="32"/>
        <v>Good Performance</v>
      </c>
    </row>
    <row r="688" spans="1:22" x14ac:dyDescent="0.25">
      <c r="A688" t="s">
        <v>11</v>
      </c>
      <c r="B688" t="s">
        <v>20</v>
      </c>
      <c r="C688" t="s">
        <v>41</v>
      </c>
      <c r="D688" t="s">
        <v>48</v>
      </c>
      <c r="E688">
        <v>500</v>
      </c>
      <c r="F688">
        <v>120</v>
      </c>
      <c r="G688">
        <v>12</v>
      </c>
      <c r="H688">
        <v>6000</v>
      </c>
      <c r="I688">
        <v>900</v>
      </c>
      <c r="J688">
        <v>5100</v>
      </c>
      <c r="K688">
        <v>1500</v>
      </c>
      <c r="L688">
        <v>3600</v>
      </c>
      <c r="M688" s="4">
        <v>41699</v>
      </c>
      <c r="N688">
        <v>3</v>
      </c>
      <c r="O688" t="s">
        <v>23</v>
      </c>
      <c r="P688" t="s">
        <v>15</v>
      </c>
      <c r="Q688" s="9">
        <f t="shared" si="30"/>
        <v>0.70588235294117652</v>
      </c>
      <c r="R688" s="9">
        <f t="shared" si="31"/>
        <v>0.29411764705882354</v>
      </c>
      <c r="V688" t="str">
        <f t="shared" si="32"/>
        <v>Good Performance</v>
      </c>
    </row>
    <row r="689" spans="1:22" x14ac:dyDescent="0.25">
      <c r="A689" t="s">
        <v>8</v>
      </c>
      <c r="B689" t="s">
        <v>18</v>
      </c>
      <c r="C689" t="s">
        <v>41</v>
      </c>
      <c r="D689" t="s">
        <v>48</v>
      </c>
      <c r="E689">
        <v>2826</v>
      </c>
      <c r="F689">
        <v>120</v>
      </c>
      <c r="G689">
        <v>15</v>
      </c>
      <c r="H689">
        <v>42390</v>
      </c>
      <c r="I689">
        <v>6358.5</v>
      </c>
      <c r="J689">
        <v>36031.5</v>
      </c>
      <c r="K689">
        <v>28260</v>
      </c>
      <c r="L689">
        <v>7771.5</v>
      </c>
      <c r="M689" s="4">
        <v>41760</v>
      </c>
      <c r="N689">
        <v>5</v>
      </c>
      <c r="O689" t="s">
        <v>25</v>
      </c>
      <c r="P689" t="s">
        <v>15</v>
      </c>
      <c r="Q689" s="9">
        <f t="shared" si="30"/>
        <v>0.21568627450980393</v>
      </c>
      <c r="R689" s="9">
        <f t="shared" si="31"/>
        <v>0.78431372549019607</v>
      </c>
      <c r="V689" t="str">
        <f t="shared" si="32"/>
        <v>Good Performance</v>
      </c>
    </row>
    <row r="690" spans="1:22" x14ac:dyDescent="0.25">
      <c r="A690" t="s">
        <v>9</v>
      </c>
      <c r="B690" t="s">
        <v>18</v>
      </c>
      <c r="C690" t="s">
        <v>41</v>
      </c>
      <c r="D690" t="s">
        <v>48</v>
      </c>
      <c r="E690">
        <v>663</v>
      </c>
      <c r="F690">
        <v>120</v>
      </c>
      <c r="G690">
        <v>125</v>
      </c>
      <c r="H690">
        <v>82875</v>
      </c>
      <c r="I690">
        <v>12431.25</v>
      </c>
      <c r="J690">
        <v>70443.75</v>
      </c>
      <c r="K690">
        <v>79560</v>
      </c>
      <c r="L690">
        <v>-9116.25</v>
      </c>
      <c r="M690" s="4">
        <v>41883</v>
      </c>
      <c r="N690">
        <v>9</v>
      </c>
      <c r="O690" t="s">
        <v>29</v>
      </c>
      <c r="P690" t="s">
        <v>15</v>
      </c>
      <c r="Q690" s="9">
        <f t="shared" si="30"/>
        <v>-0.12941176470588237</v>
      </c>
      <c r="R690" s="9">
        <f t="shared" si="31"/>
        <v>1.1294117647058823</v>
      </c>
      <c r="V690" t="str">
        <f t="shared" si="32"/>
        <v>Under Review</v>
      </c>
    </row>
    <row r="691" spans="1:22" x14ac:dyDescent="0.25">
      <c r="A691" t="s">
        <v>7</v>
      </c>
      <c r="B691" t="s">
        <v>17</v>
      </c>
      <c r="C691" t="s">
        <v>41</v>
      </c>
      <c r="D691" t="s">
        <v>48</v>
      </c>
      <c r="E691">
        <v>2574</v>
      </c>
      <c r="F691">
        <v>120</v>
      </c>
      <c r="G691">
        <v>300</v>
      </c>
      <c r="H691">
        <v>772200</v>
      </c>
      <c r="I691">
        <v>115830</v>
      </c>
      <c r="J691">
        <v>656370</v>
      </c>
      <c r="K691">
        <v>643500</v>
      </c>
      <c r="L691">
        <v>12870</v>
      </c>
      <c r="M691" s="4">
        <v>41579</v>
      </c>
      <c r="N691">
        <v>11</v>
      </c>
      <c r="O691" t="s">
        <v>31</v>
      </c>
      <c r="P691" t="s">
        <v>14</v>
      </c>
      <c r="Q691" s="9">
        <f t="shared" si="30"/>
        <v>1.9607843137254902E-2</v>
      </c>
      <c r="R691" s="9">
        <f t="shared" si="31"/>
        <v>0.98039215686274506</v>
      </c>
      <c r="V691" t="str">
        <f t="shared" si="32"/>
        <v>Under Review</v>
      </c>
    </row>
    <row r="692" spans="1:22" x14ac:dyDescent="0.25">
      <c r="A692" t="s">
        <v>9</v>
      </c>
      <c r="B692" t="s">
        <v>17</v>
      </c>
      <c r="C692" t="s">
        <v>41</v>
      </c>
      <c r="D692" t="s">
        <v>48</v>
      </c>
      <c r="E692">
        <v>2438</v>
      </c>
      <c r="F692">
        <v>120</v>
      </c>
      <c r="G692">
        <v>125</v>
      </c>
      <c r="H692">
        <v>304750</v>
      </c>
      <c r="I692">
        <v>45712.5</v>
      </c>
      <c r="J692">
        <v>259037.5</v>
      </c>
      <c r="K692">
        <v>292560</v>
      </c>
      <c r="L692">
        <v>-33522.5</v>
      </c>
      <c r="M692" s="4">
        <v>41609</v>
      </c>
      <c r="N692">
        <v>12</v>
      </c>
      <c r="O692" t="s">
        <v>32</v>
      </c>
      <c r="P692" t="s">
        <v>14</v>
      </c>
      <c r="Q692" s="9">
        <f t="shared" si="30"/>
        <v>-0.12941176470588237</v>
      </c>
      <c r="R692" s="9">
        <f t="shared" si="31"/>
        <v>1.1294117647058823</v>
      </c>
      <c r="V692" t="str">
        <f t="shared" si="32"/>
        <v>Under Review</v>
      </c>
    </row>
    <row r="693" spans="1:22" x14ac:dyDescent="0.25">
      <c r="A693" t="s">
        <v>11</v>
      </c>
      <c r="B693" t="s">
        <v>17</v>
      </c>
      <c r="C693" t="s">
        <v>41</v>
      </c>
      <c r="D693" t="s">
        <v>48</v>
      </c>
      <c r="E693">
        <v>914</v>
      </c>
      <c r="F693">
        <v>120</v>
      </c>
      <c r="G693">
        <v>12</v>
      </c>
      <c r="H693">
        <v>10968</v>
      </c>
      <c r="I693">
        <v>1645.2</v>
      </c>
      <c r="J693">
        <v>9322.7999999999993</v>
      </c>
      <c r="K693">
        <v>2742</v>
      </c>
      <c r="L693">
        <v>6580.7999999999993</v>
      </c>
      <c r="M693" s="4">
        <v>41974</v>
      </c>
      <c r="N693">
        <v>12</v>
      </c>
      <c r="O693" t="s">
        <v>32</v>
      </c>
      <c r="P693" t="s">
        <v>15</v>
      </c>
      <c r="Q693" s="9">
        <f t="shared" si="30"/>
        <v>0.70588235294117641</v>
      </c>
      <c r="R693" s="9">
        <f t="shared" si="31"/>
        <v>0.29411764705882354</v>
      </c>
      <c r="V693" t="str">
        <f t="shared" si="32"/>
        <v>Good Performance</v>
      </c>
    </row>
    <row r="694" spans="1:22" x14ac:dyDescent="0.25">
      <c r="A694" t="s">
        <v>10</v>
      </c>
      <c r="B694" t="s">
        <v>16</v>
      </c>
      <c r="C694" t="s">
        <v>42</v>
      </c>
      <c r="D694" t="s">
        <v>48</v>
      </c>
      <c r="E694">
        <v>865.5</v>
      </c>
      <c r="F694">
        <v>250</v>
      </c>
      <c r="G694">
        <v>20</v>
      </c>
      <c r="H694">
        <v>17310</v>
      </c>
      <c r="I694">
        <v>2596.5</v>
      </c>
      <c r="J694">
        <v>14713.5</v>
      </c>
      <c r="K694">
        <v>8655</v>
      </c>
      <c r="L694">
        <v>6058.5</v>
      </c>
      <c r="M694" s="4">
        <v>41821</v>
      </c>
      <c r="N694">
        <v>7</v>
      </c>
      <c r="O694" t="s">
        <v>27</v>
      </c>
      <c r="P694" t="s">
        <v>15</v>
      </c>
      <c r="Q694" s="9">
        <f t="shared" si="30"/>
        <v>0.41176470588235292</v>
      </c>
      <c r="R694" s="9">
        <f t="shared" si="31"/>
        <v>0.58823529411764708</v>
      </c>
      <c r="V694" t="str">
        <f t="shared" si="32"/>
        <v>Good Performance</v>
      </c>
    </row>
    <row r="695" spans="1:22" x14ac:dyDescent="0.25">
      <c r="A695" t="s">
        <v>8</v>
      </c>
      <c r="B695" t="s">
        <v>19</v>
      </c>
      <c r="C695" t="s">
        <v>42</v>
      </c>
      <c r="D695" t="s">
        <v>48</v>
      </c>
      <c r="E695">
        <v>492</v>
      </c>
      <c r="F695">
        <v>250</v>
      </c>
      <c r="G695">
        <v>15</v>
      </c>
      <c r="H695">
        <v>7380</v>
      </c>
      <c r="I695">
        <v>1107</v>
      </c>
      <c r="J695">
        <v>6273</v>
      </c>
      <c r="K695">
        <v>4920</v>
      </c>
      <c r="L695">
        <v>1353</v>
      </c>
      <c r="M695" s="4">
        <v>41821</v>
      </c>
      <c r="N695">
        <v>7</v>
      </c>
      <c r="O695" t="s">
        <v>27</v>
      </c>
      <c r="P695" t="s">
        <v>15</v>
      </c>
      <c r="Q695" s="9">
        <f t="shared" si="30"/>
        <v>0.21568627450980393</v>
      </c>
      <c r="R695" s="9">
        <f t="shared" si="31"/>
        <v>0.78431372549019607</v>
      </c>
      <c r="V695" t="str">
        <f t="shared" si="32"/>
        <v>Good Performance</v>
      </c>
    </row>
    <row r="696" spans="1:22" x14ac:dyDescent="0.25">
      <c r="A696" t="s">
        <v>10</v>
      </c>
      <c r="B696" t="s">
        <v>17</v>
      </c>
      <c r="C696" t="s">
        <v>42</v>
      </c>
      <c r="D696" t="s">
        <v>48</v>
      </c>
      <c r="E696">
        <v>267</v>
      </c>
      <c r="F696">
        <v>250</v>
      </c>
      <c r="G696">
        <v>20</v>
      </c>
      <c r="H696">
        <v>5340</v>
      </c>
      <c r="I696">
        <v>801</v>
      </c>
      <c r="J696">
        <v>4539</v>
      </c>
      <c r="K696">
        <v>2670</v>
      </c>
      <c r="L696">
        <v>1869</v>
      </c>
      <c r="M696" s="4">
        <v>41548</v>
      </c>
      <c r="N696">
        <v>10</v>
      </c>
      <c r="O696" t="s">
        <v>30</v>
      </c>
      <c r="P696" t="s">
        <v>14</v>
      </c>
      <c r="Q696" s="9">
        <f t="shared" si="30"/>
        <v>0.41176470588235292</v>
      </c>
      <c r="R696" s="9">
        <f t="shared" si="31"/>
        <v>0.58823529411764708</v>
      </c>
      <c r="V696" t="str">
        <f t="shared" si="32"/>
        <v>Good Performance</v>
      </c>
    </row>
    <row r="697" spans="1:22" x14ac:dyDescent="0.25">
      <c r="A697" t="s">
        <v>8</v>
      </c>
      <c r="B697" t="s">
        <v>19</v>
      </c>
      <c r="C697" t="s">
        <v>42</v>
      </c>
      <c r="D697" t="s">
        <v>48</v>
      </c>
      <c r="E697">
        <v>1175</v>
      </c>
      <c r="F697">
        <v>250</v>
      </c>
      <c r="G697">
        <v>15</v>
      </c>
      <c r="H697">
        <v>17625</v>
      </c>
      <c r="I697">
        <v>2643.75</v>
      </c>
      <c r="J697">
        <v>14981.25</v>
      </c>
      <c r="K697">
        <v>11750</v>
      </c>
      <c r="L697">
        <v>3231.25</v>
      </c>
      <c r="M697" s="4">
        <v>41913</v>
      </c>
      <c r="N697">
        <v>10</v>
      </c>
      <c r="O697" t="s">
        <v>30</v>
      </c>
      <c r="P697" t="s">
        <v>15</v>
      </c>
      <c r="Q697" s="9">
        <f t="shared" si="30"/>
        <v>0.21568627450980393</v>
      </c>
      <c r="R697" s="9">
        <f t="shared" si="31"/>
        <v>0.78431372549019607</v>
      </c>
      <c r="V697" t="str">
        <f t="shared" si="32"/>
        <v>Good Performance</v>
      </c>
    </row>
    <row r="698" spans="1:22" x14ac:dyDescent="0.25">
      <c r="A698" t="s">
        <v>9</v>
      </c>
      <c r="B698" t="s">
        <v>16</v>
      </c>
      <c r="C698" t="s">
        <v>42</v>
      </c>
      <c r="D698" t="s">
        <v>48</v>
      </c>
      <c r="E698">
        <v>2954</v>
      </c>
      <c r="F698">
        <v>250</v>
      </c>
      <c r="G698">
        <v>125</v>
      </c>
      <c r="H698">
        <v>369250</v>
      </c>
      <c r="I698">
        <v>55387.5</v>
      </c>
      <c r="J698">
        <v>313862.5</v>
      </c>
      <c r="K698">
        <v>354480</v>
      </c>
      <c r="L698">
        <v>-40617.5</v>
      </c>
      <c r="M698" s="4">
        <v>41579</v>
      </c>
      <c r="N698">
        <v>11</v>
      </c>
      <c r="O698" t="s">
        <v>31</v>
      </c>
      <c r="P698" t="s">
        <v>14</v>
      </c>
      <c r="Q698" s="9">
        <f t="shared" si="30"/>
        <v>-0.12941176470588237</v>
      </c>
      <c r="R698" s="9">
        <f t="shared" si="31"/>
        <v>1.1294117647058823</v>
      </c>
      <c r="V698" t="str">
        <f t="shared" si="32"/>
        <v>Under Review</v>
      </c>
    </row>
    <row r="699" spans="1:22" x14ac:dyDescent="0.25">
      <c r="A699" t="s">
        <v>9</v>
      </c>
      <c r="B699" t="s">
        <v>19</v>
      </c>
      <c r="C699" t="s">
        <v>42</v>
      </c>
      <c r="D699" t="s">
        <v>48</v>
      </c>
      <c r="E699">
        <v>552</v>
      </c>
      <c r="F699">
        <v>250</v>
      </c>
      <c r="G699">
        <v>125</v>
      </c>
      <c r="H699">
        <v>69000</v>
      </c>
      <c r="I699">
        <v>10350</v>
      </c>
      <c r="J699">
        <v>58650</v>
      </c>
      <c r="K699">
        <v>66240</v>
      </c>
      <c r="L699">
        <v>-7590</v>
      </c>
      <c r="M699" s="4">
        <v>41944</v>
      </c>
      <c r="N699">
        <v>11</v>
      </c>
      <c r="O699" t="s">
        <v>31</v>
      </c>
      <c r="P699" t="s">
        <v>15</v>
      </c>
      <c r="Q699" s="9">
        <f t="shared" si="30"/>
        <v>-0.12941176470588237</v>
      </c>
      <c r="R699" s="9">
        <f t="shared" si="31"/>
        <v>1.1294117647058823</v>
      </c>
      <c r="V699" t="str">
        <f t="shared" si="32"/>
        <v>Under Review</v>
      </c>
    </row>
    <row r="700" spans="1:22" x14ac:dyDescent="0.25">
      <c r="A700" t="s">
        <v>10</v>
      </c>
      <c r="B700" t="s">
        <v>18</v>
      </c>
      <c r="C700" t="s">
        <v>42</v>
      </c>
      <c r="D700" t="s">
        <v>48</v>
      </c>
      <c r="E700">
        <v>293</v>
      </c>
      <c r="F700">
        <v>250</v>
      </c>
      <c r="G700">
        <v>20</v>
      </c>
      <c r="H700">
        <v>5860</v>
      </c>
      <c r="I700">
        <v>879</v>
      </c>
      <c r="J700">
        <v>4981</v>
      </c>
      <c r="K700">
        <v>2930</v>
      </c>
      <c r="L700">
        <v>2051</v>
      </c>
      <c r="M700" s="4">
        <v>41974</v>
      </c>
      <c r="N700">
        <v>12</v>
      </c>
      <c r="O700" t="s">
        <v>32</v>
      </c>
      <c r="P700" t="s">
        <v>15</v>
      </c>
      <c r="Q700" s="9">
        <f t="shared" si="30"/>
        <v>0.41176470588235292</v>
      </c>
      <c r="R700" s="9">
        <f t="shared" si="31"/>
        <v>0.58823529411764708</v>
      </c>
      <c r="V700" t="str">
        <f t="shared" si="32"/>
        <v>Good Performance</v>
      </c>
    </row>
    <row r="701" spans="1:22" x14ac:dyDescent="0.25">
      <c r="A701" t="s">
        <v>7</v>
      </c>
      <c r="B701" t="s">
        <v>18</v>
      </c>
      <c r="C701" t="s">
        <v>43</v>
      </c>
      <c r="D701" t="s">
        <v>48</v>
      </c>
      <c r="E701">
        <v>2475</v>
      </c>
      <c r="F701">
        <v>260</v>
      </c>
      <c r="G701">
        <v>300</v>
      </c>
      <c r="H701">
        <v>742500</v>
      </c>
      <c r="I701">
        <v>111375</v>
      </c>
      <c r="J701">
        <v>631125</v>
      </c>
      <c r="K701">
        <v>618750</v>
      </c>
      <c r="L701">
        <v>12375</v>
      </c>
      <c r="M701" s="4">
        <v>41699</v>
      </c>
      <c r="N701">
        <v>3</v>
      </c>
      <c r="O701" t="s">
        <v>23</v>
      </c>
      <c r="P701" t="s">
        <v>15</v>
      </c>
      <c r="Q701" s="9">
        <f t="shared" si="30"/>
        <v>1.9607843137254902E-2</v>
      </c>
      <c r="R701" s="9">
        <f t="shared" si="31"/>
        <v>0.98039215686274506</v>
      </c>
      <c r="V701" t="str">
        <f t="shared" si="32"/>
        <v>Under Review</v>
      </c>
    </row>
    <row r="702" spans="1:22" x14ac:dyDescent="0.25">
      <c r="A702" t="s">
        <v>7</v>
      </c>
      <c r="B702" t="s">
        <v>20</v>
      </c>
      <c r="C702" t="s">
        <v>43</v>
      </c>
      <c r="D702" t="s">
        <v>48</v>
      </c>
      <c r="E702">
        <v>546</v>
      </c>
      <c r="F702">
        <v>260</v>
      </c>
      <c r="G702">
        <v>300</v>
      </c>
      <c r="H702">
        <v>163800</v>
      </c>
      <c r="I702">
        <v>24570</v>
      </c>
      <c r="J702">
        <v>139230</v>
      </c>
      <c r="K702">
        <v>136500</v>
      </c>
      <c r="L702">
        <v>2730</v>
      </c>
      <c r="M702" s="4">
        <v>41913</v>
      </c>
      <c r="N702">
        <v>10</v>
      </c>
      <c r="O702" t="s">
        <v>30</v>
      </c>
      <c r="P702" t="s">
        <v>15</v>
      </c>
      <c r="Q702" s="9">
        <f t="shared" si="30"/>
        <v>1.9607843137254902E-2</v>
      </c>
      <c r="R702" s="9">
        <f t="shared" si="31"/>
        <v>0.98039215686274506</v>
      </c>
      <c r="V702" t="str">
        <f t="shared" si="32"/>
        <v>Under Review</v>
      </c>
    </row>
    <row r="703" spans="1:22" x14ac:dyDescent="0.25">
      <c r="A703" t="s">
        <v>10</v>
      </c>
      <c r="B703" t="s">
        <v>20</v>
      </c>
      <c r="C703" t="s">
        <v>39</v>
      </c>
      <c r="D703" t="s">
        <v>48</v>
      </c>
      <c r="E703">
        <v>1368</v>
      </c>
      <c r="F703">
        <v>5</v>
      </c>
      <c r="G703">
        <v>7</v>
      </c>
      <c r="H703">
        <v>9576</v>
      </c>
      <c r="I703">
        <v>1436.4</v>
      </c>
      <c r="J703">
        <v>8139.6</v>
      </c>
      <c r="K703">
        <v>6840</v>
      </c>
      <c r="L703">
        <v>1299.6000000000004</v>
      </c>
      <c r="M703" s="4">
        <v>41671</v>
      </c>
      <c r="N703">
        <v>2</v>
      </c>
      <c r="O703" t="s">
        <v>22</v>
      </c>
      <c r="P703" t="s">
        <v>15</v>
      </c>
      <c r="Q703" s="9">
        <f t="shared" si="30"/>
        <v>0.15966386554621853</v>
      </c>
      <c r="R703" s="9">
        <f t="shared" si="31"/>
        <v>0.84033613445378152</v>
      </c>
      <c r="V703" t="str">
        <f t="shared" si="32"/>
        <v>Good Performance</v>
      </c>
    </row>
    <row r="704" spans="1:22" x14ac:dyDescent="0.25">
      <c r="A704" t="s">
        <v>10</v>
      </c>
      <c r="B704" t="s">
        <v>16</v>
      </c>
      <c r="C704" t="s">
        <v>40</v>
      </c>
      <c r="D704" t="s">
        <v>48</v>
      </c>
      <c r="E704">
        <v>723</v>
      </c>
      <c r="F704">
        <v>10</v>
      </c>
      <c r="G704">
        <v>7</v>
      </c>
      <c r="H704">
        <v>5061</v>
      </c>
      <c r="I704">
        <v>759.15000000000009</v>
      </c>
      <c r="J704">
        <v>4301.8500000000004</v>
      </c>
      <c r="K704">
        <v>3615</v>
      </c>
      <c r="L704">
        <v>686.85000000000014</v>
      </c>
      <c r="M704" s="4">
        <v>41730</v>
      </c>
      <c r="N704">
        <v>4</v>
      </c>
      <c r="O704" t="s">
        <v>24</v>
      </c>
      <c r="P704" t="s">
        <v>15</v>
      </c>
      <c r="Q704" s="9">
        <f t="shared" si="30"/>
        <v>0.1596638655462185</v>
      </c>
      <c r="R704" s="9">
        <f t="shared" si="31"/>
        <v>0.84033613445378141</v>
      </c>
      <c r="V704" t="str">
        <f t="shared" si="32"/>
        <v>Good Performance</v>
      </c>
    </row>
    <row r="705" spans="1:22" x14ac:dyDescent="0.25">
      <c r="A705" t="s">
        <v>11</v>
      </c>
      <c r="B705" t="s">
        <v>17</v>
      </c>
      <c r="C705" t="s">
        <v>42</v>
      </c>
      <c r="D705" t="s">
        <v>48</v>
      </c>
      <c r="E705">
        <v>1806</v>
      </c>
      <c r="F705">
        <v>250</v>
      </c>
      <c r="G705">
        <v>12</v>
      </c>
      <c r="H705">
        <v>21672</v>
      </c>
      <c r="I705">
        <v>3250.8</v>
      </c>
      <c r="J705">
        <v>18421.2</v>
      </c>
      <c r="K705">
        <v>5418</v>
      </c>
      <c r="L705">
        <v>13003.2</v>
      </c>
      <c r="M705" s="4">
        <v>41760</v>
      </c>
      <c r="N705">
        <v>5</v>
      </c>
      <c r="O705" t="s">
        <v>25</v>
      </c>
      <c r="P705" t="s">
        <v>15</v>
      </c>
      <c r="Q705" s="9">
        <f t="shared" si="30"/>
        <v>0.70588235294117652</v>
      </c>
      <c r="R705" s="9">
        <f t="shared" si="31"/>
        <v>0.29411764705882354</v>
      </c>
      <c r="V705" t="str">
        <f t="shared" si="32"/>
        <v>Good Performance</v>
      </c>
    </row>
    <row r="706" spans="1:22" x14ac:dyDescent="0.25">
      <c r="V706" t="str">
        <f t="shared" si="32"/>
        <v>Under Review</v>
      </c>
    </row>
  </sheetData>
  <conditionalFormatting sqref="Q2:Q70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NASEEM MOHAMMED SALMAN ALJABRI</cp:lastModifiedBy>
  <dcterms:created xsi:type="dcterms:W3CDTF">2014-01-28T02:45:41Z</dcterms:created>
  <dcterms:modified xsi:type="dcterms:W3CDTF">2026-02-22T21:15:28Z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